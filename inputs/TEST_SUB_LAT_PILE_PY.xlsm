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awatif_class\agentic_agents\inputs\"/>
    </mc:Choice>
  </mc:AlternateContent>
  <xr:revisionPtr revIDLastSave="0" documentId="13_ncr:1_{2D00065B-9B31-46C6-8016-7F805A287A0E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mLPile" sheetId="1" state="veryHidden" r:id=""/>
    <sheet name="INPUT_CALCS" sheetId="8" r:id="rId1"/>
    <sheet name="Function Index" sheetId="7" r:id="rId2"/>
    <sheet name="Examples" sheetId="4" r:id="rId3"/>
    <sheet name="SoilProps" sheetId="6" r:id="rId4"/>
    <sheet name="About" sheetId="5" r:id="rId5"/>
  </sheets>
  <functionGroups builtInGroupCount="19"/>
  <definedNames>
    <definedName name="_xleta.MIN" hidden="1" xlm="1">#NAME?</definedName>
    <definedName name="COHESION_C">INPUT_CALCS!$M$5</definedName>
    <definedName name="COHESION_PHI">INPUT_CALCS!$M$5</definedName>
    <definedName name="DEFAULT_TABLE">INPUT_CALCS!$Y$39:$Y$43</definedName>
    <definedName name="deflection">INPUT_CALCS!$O$56:$O$104</definedName>
    <definedName name="ExternalData_1" localSheetId="1" hidden="1">INPUT_CALCS!$C$39:$G$46</definedName>
    <definedName name="LOADS">INPUT_CALCS!$R$41:$R$47</definedName>
    <definedName name="PHI_C">INPUT_CALCS!$M$5</definedName>
    <definedName name="PHI_EPSILON" localSheetId="1">INPUT_CALCS!$S$5</definedName>
    <definedName name="PHI_K">INPUT_CALCS!$P$5</definedName>
    <definedName name="pile_length">INPUT_CALCS!$N$56:$N$104</definedName>
    <definedName name="SB_03_SOIL_PROPERTIES">INPUT_CALCS!$H$60:$L$66</definedName>
    <definedName name="SECTION_TABLE">INPUT_CALCS!$U$39:$U$51</definedName>
    <definedName name="SEGMENTS">INPUT_CALCS!$O$41:$P$41</definedName>
    <definedName name="SHEAR_LBF">INPUT_CALCS!$R$41</definedName>
    <definedName name="SL_1">SoilProps!$E$22</definedName>
    <definedName name="SL_2">SoilProps!$E$73</definedName>
    <definedName name="SL_3">SoilProps!$E$74</definedName>
    <definedName name="SL_4">SoilProps!$E$75</definedName>
    <definedName name="solver_adj" localSheetId="3" hidden="1">Examples!#REF!</definedName>
    <definedName name="solver_cvg" localSheetId="3" hidden="1">0.00000001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opt" localSheetId="3" hidden="1">Examples!#REF!</definedName>
    <definedName name="solver_pre" localSheetId="3" hidden="1">0.000001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0.01</definedName>
    <definedName name="solver_typ" localSheetId="3" hidden="1">3</definedName>
    <definedName name="solver_val" localSheetId="3" hidden="1">-4.05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9" i="8" l="1"/>
  <c r="O41" i="8" s="1"/>
  <c r="E40" i="8"/>
  <c r="E41" i="8"/>
  <c r="D41" i="8"/>
  <c r="R42" i="8"/>
  <c r="G69" i="8"/>
  <c r="F69" i="8"/>
  <c r="G67" i="8"/>
  <c r="F67" i="8"/>
  <c r="E67" i="8"/>
  <c r="G66" i="8"/>
  <c r="F66" i="8"/>
  <c r="E66" i="8"/>
  <c r="D66" i="8"/>
  <c r="D40" i="8"/>
  <c r="O44" i="8" l="1"/>
  <c r="O43" i="8"/>
  <c r="D51" i="8"/>
  <c r="D52" i="8" s="1"/>
  <c r="D50" i="8"/>
  <c r="U53" i="8" l="1"/>
  <c r="U49" i="8" l="1"/>
  <c r="U48" i="8"/>
  <c r="B5" i="4"/>
  <c r="N56" i="8" a="1"/>
  <c r="N56" i="8" l="1"/>
  <c r="C38" i="8"/>
  <c r="S27" i="8"/>
  <c r="S16" i="8"/>
  <c r="I15" i="6" l="1"/>
  <c r="I14" i="6"/>
  <c r="H15" i="6"/>
  <c r="H14" i="6"/>
  <c r="G15" i="6"/>
  <c r="G14" i="6"/>
  <c r="H19" i="6"/>
  <c r="I19" i="6"/>
  <c r="H20" i="6"/>
  <c r="I20" i="6"/>
  <c r="G19" i="6"/>
  <c r="I17" i="6" l="1"/>
  <c r="H17" i="6"/>
  <c r="G17" i="6"/>
  <c r="G20" i="6"/>
  <c r="U52" i="8"/>
  <c r="Q13" i="8"/>
  <c r="Q20" i="8"/>
  <c r="Q21" i="8"/>
  <c r="Q22" i="8"/>
  <c r="Q23" i="8"/>
  <c r="Q24" i="8"/>
  <c r="Q19" i="8"/>
  <c r="Q25" i="8" s="1"/>
  <c r="Q31" i="8"/>
  <c r="Q32" i="8"/>
  <c r="Q33" i="8"/>
  <c r="Q34" i="8"/>
  <c r="Q30" i="8"/>
  <c r="Q51" i="8" l="1"/>
  <c r="Q50" i="8" a="1"/>
  <c r="Q50" i="8" s="1"/>
  <c r="Q49" i="8"/>
  <c r="Q116" i="8"/>
  <c r="P116" i="8"/>
  <c r="Q35" i="8"/>
  <c r="S34" i="8"/>
  <c r="M34" i="8"/>
  <c r="H34" i="8"/>
  <c r="S33" i="8"/>
  <c r="M33" i="8"/>
  <c r="H33" i="8"/>
  <c r="S32" i="8"/>
  <c r="M32" i="8"/>
  <c r="H32" i="8"/>
  <c r="S31" i="8"/>
  <c r="M31" i="8"/>
  <c r="H31" i="8"/>
  <c r="S30" i="8"/>
  <c r="M30" i="8"/>
  <c r="S24" i="8"/>
  <c r="M24" i="8"/>
  <c r="H24" i="8"/>
  <c r="S23" i="8"/>
  <c r="M23" i="8"/>
  <c r="H23" i="8"/>
  <c r="S22" i="8"/>
  <c r="M22" i="8"/>
  <c r="H22" i="8"/>
  <c r="S21" i="8"/>
  <c r="M21" i="8"/>
  <c r="H21" i="8"/>
  <c r="S20" i="8"/>
  <c r="M20" i="8"/>
  <c r="H20" i="8"/>
  <c r="S19" i="8"/>
  <c r="M19" i="8"/>
  <c r="S13" i="8" l="1"/>
  <c r="S35" i="8"/>
  <c r="S25" i="8"/>
  <c r="H25" i="8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I34" i="4"/>
  <c r="G34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H27" i="4"/>
  <c r="G27" i="4"/>
  <c r="E27" i="4" l="1"/>
  <c r="E23" i="4" l="1"/>
  <c r="F61" i="4"/>
  <c r="E61" i="4"/>
  <c r="E107" i="6" a="1"/>
  <c r="E63" i="6" a="1"/>
  <c r="E85" i="6" a="1"/>
  <c r="E127" i="6" a="1"/>
  <c r="E68" i="6" l="1"/>
  <c r="E69" i="6"/>
  <c r="E70" i="6"/>
  <c r="E67" i="6"/>
  <c r="E77" i="6"/>
  <c r="E75" i="6"/>
  <c r="E64" i="6"/>
  <c r="E66" i="6"/>
  <c r="E79" i="6"/>
  <c r="E72" i="6"/>
  <c r="E73" i="6"/>
  <c r="E74" i="6"/>
  <c r="E71" i="6"/>
  <c r="E76" i="6"/>
  <c r="E78" i="6"/>
  <c r="E65" i="6"/>
  <c r="E63" i="6"/>
  <c r="E120" i="6"/>
  <c r="E121" i="6"/>
  <c r="E107" i="6"/>
  <c r="E113" i="6"/>
  <c r="E115" i="6"/>
  <c r="E117" i="6"/>
  <c r="E119" i="6"/>
  <c r="E108" i="6"/>
  <c r="E109" i="6"/>
  <c r="E110" i="6"/>
  <c r="E111" i="6"/>
  <c r="E112" i="6"/>
  <c r="E114" i="6"/>
  <c r="E116" i="6"/>
  <c r="E118" i="6"/>
  <c r="E86" i="6"/>
  <c r="E87" i="6"/>
  <c r="E88" i="6"/>
  <c r="E89" i="6"/>
  <c r="E95" i="6"/>
  <c r="E97" i="6"/>
  <c r="E99" i="6"/>
  <c r="E90" i="6"/>
  <c r="E91" i="6"/>
  <c r="E92" i="6"/>
  <c r="E93" i="6"/>
  <c r="E94" i="6"/>
  <c r="E96" i="6"/>
  <c r="E98" i="6"/>
  <c r="E85" i="6"/>
  <c r="E128" i="6"/>
  <c r="E129" i="6"/>
  <c r="E130" i="6"/>
  <c r="E127" i="6"/>
  <c r="E143" i="6"/>
  <c r="E138" i="6"/>
  <c r="E141" i="6"/>
  <c r="E139" i="6"/>
  <c r="E132" i="6"/>
  <c r="E133" i="6"/>
  <c r="E134" i="6"/>
  <c r="E131" i="6"/>
  <c r="E136" i="6"/>
  <c r="E137" i="6"/>
  <c r="E135" i="6"/>
  <c r="E140" i="6"/>
  <c r="E142" i="6"/>
  <c r="D99" i="6" l="1"/>
  <c r="F48" i="4" s="1"/>
  <c r="B83" i="4" a="1"/>
  <c r="C83" i="4" l="1"/>
  <c r="G87" i="4"/>
  <c r="K91" i="4"/>
  <c r="D96" i="4"/>
  <c r="H100" i="4"/>
  <c r="L104" i="4"/>
  <c r="E109" i="4"/>
  <c r="I113" i="4"/>
  <c r="J88" i="4"/>
  <c r="H94" i="4"/>
  <c r="F100" i="4"/>
  <c r="D106" i="4"/>
  <c r="B112" i="4"/>
  <c r="G86" i="4"/>
  <c r="E92" i="4"/>
  <c r="G88" i="4"/>
  <c r="E94" i="4"/>
  <c r="C100" i="4"/>
  <c r="L105" i="4"/>
  <c r="J111" i="4"/>
  <c r="H97" i="4"/>
  <c r="D109" i="4"/>
  <c r="L93" i="4"/>
  <c r="H105" i="4"/>
  <c r="C88" i="4"/>
  <c r="L101" i="4"/>
  <c r="D113" i="4"/>
  <c r="E98" i="4"/>
  <c r="L109" i="4"/>
  <c r="K85" i="4"/>
  <c r="H85" i="4"/>
  <c r="F103" i="4"/>
  <c r="J107" i="4"/>
  <c r="K89" i="4"/>
  <c r="F112" i="4"/>
  <c r="J94" i="4"/>
  <c r="E104" i="4"/>
  <c r="B104" i="4"/>
  <c r="I87" i="4"/>
  <c r="G94" i="4"/>
  <c r="D108" i="4"/>
  <c r="J104" i="4"/>
  <c r="I94" i="4"/>
  <c r="I110" i="4"/>
  <c r="D104" i="4"/>
  <c r="E91" i="4"/>
  <c r="E84" i="4"/>
  <c r="D100" i="4"/>
  <c r="H111" i="4"/>
  <c r="I96" i="4"/>
  <c r="G83" i="4"/>
  <c r="K87" i="4"/>
  <c r="D92" i="4"/>
  <c r="H96" i="4"/>
  <c r="L100" i="4"/>
  <c r="E105" i="4"/>
  <c r="I109" i="4"/>
  <c r="F83" i="4"/>
  <c r="D89" i="4"/>
  <c r="B95" i="4"/>
  <c r="K100" i="4"/>
  <c r="I106" i="4"/>
  <c r="G112" i="4"/>
  <c r="L86" i="4"/>
  <c r="D83" i="4"/>
  <c r="B89" i="4"/>
  <c r="K94" i="4"/>
  <c r="I100" i="4"/>
  <c r="G106" i="4"/>
  <c r="E112" i="4"/>
  <c r="H98" i="4"/>
  <c r="D110" i="4"/>
  <c r="L94" i="4"/>
  <c r="H106" i="4"/>
  <c r="C90" i="4"/>
  <c r="L102" i="4"/>
  <c r="K113" i="4"/>
  <c r="E99" i="4"/>
  <c r="L110" i="4"/>
  <c r="K104" i="4"/>
  <c r="D101" i="4"/>
  <c r="F98" i="4"/>
  <c r="E103" i="4"/>
  <c r="D97" i="4"/>
  <c r="B91" i="4"/>
  <c r="J99" i="4"/>
  <c r="C86" i="4"/>
  <c r="J92" i="4"/>
  <c r="J108" i="4"/>
  <c r="C99" i="4"/>
  <c r="F92" i="4"/>
  <c r="C98" i="4"/>
  <c r="G99" i="4"/>
  <c r="L98" i="4"/>
  <c r="K92" i="4"/>
  <c r="B99" i="4"/>
  <c r="C91" i="4"/>
  <c r="B111" i="4"/>
  <c r="I103" i="4"/>
  <c r="L108" i="4"/>
  <c r="E108" i="4"/>
  <c r="K83" i="4"/>
  <c r="D88" i="4"/>
  <c r="H92" i="4"/>
  <c r="L96" i="4"/>
  <c r="E101" i="4"/>
  <c r="I105" i="4"/>
  <c r="B110" i="4"/>
  <c r="L83" i="4"/>
  <c r="J89" i="4"/>
  <c r="H95" i="4"/>
  <c r="F101" i="4"/>
  <c r="D107" i="4"/>
  <c r="B113" i="4"/>
  <c r="F87" i="4"/>
  <c r="I83" i="4"/>
  <c r="G89" i="4"/>
  <c r="E95" i="4"/>
  <c r="C101" i="4"/>
  <c r="L106" i="4"/>
  <c r="E83" i="4"/>
  <c r="H99" i="4"/>
  <c r="D111" i="4"/>
  <c r="L95" i="4"/>
  <c r="H107" i="4"/>
  <c r="B92" i="4"/>
  <c r="L103" i="4"/>
  <c r="J84" i="4"/>
  <c r="E100" i="4"/>
  <c r="L111" i="4"/>
  <c r="D93" i="4"/>
  <c r="I86" i="4"/>
  <c r="B94" i="4"/>
  <c r="H83" i="4"/>
  <c r="B103" i="4"/>
  <c r="J83" i="4"/>
  <c r="J97" i="4"/>
  <c r="J100" i="4"/>
  <c r="F90" i="4"/>
  <c r="E90" i="4"/>
  <c r="J101" i="4"/>
  <c r="J90" i="4"/>
  <c r="B85" i="4"/>
  <c r="I102" i="4"/>
  <c r="J86" i="4"/>
  <c r="H87" i="4"/>
  <c r="I111" i="4"/>
  <c r="E113" i="4"/>
  <c r="I99" i="4"/>
  <c r="B109" i="4"/>
  <c r="D84" i="4"/>
  <c r="H88" i="4"/>
  <c r="L92" i="4"/>
  <c r="E97" i="4"/>
  <c r="I101" i="4"/>
  <c r="B106" i="4"/>
  <c r="F110" i="4"/>
  <c r="F84" i="4"/>
  <c r="D90" i="4"/>
  <c r="B96" i="4"/>
  <c r="K101" i="4"/>
  <c r="I107" i="4"/>
  <c r="G113" i="4"/>
  <c r="L87" i="4"/>
  <c r="C84" i="4"/>
  <c r="L89" i="4"/>
  <c r="J95" i="4"/>
  <c r="H101" i="4"/>
  <c r="F107" i="4"/>
  <c r="D85" i="4"/>
  <c r="G100" i="4"/>
  <c r="C112" i="4"/>
  <c r="K96" i="4"/>
  <c r="G108" i="4"/>
  <c r="J112" i="4"/>
  <c r="G111" i="4"/>
  <c r="F89" i="4"/>
  <c r="C96" i="4"/>
  <c r="H103" i="4"/>
  <c r="K107" i="4"/>
  <c r="K109" i="4"/>
  <c r="J109" i="4"/>
  <c r="K103" i="4"/>
  <c r="G104" i="4"/>
  <c r="L112" i="4"/>
  <c r="D99" i="4"/>
  <c r="C87" i="4"/>
  <c r="L85" i="4"/>
  <c r="D86" i="4"/>
  <c r="H84" i="4"/>
  <c r="L88" i="4"/>
  <c r="E93" i="4"/>
  <c r="I97" i="4"/>
  <c r="B102" i="4"/>
  <c r="F106" i="4"/>
  <c r="J110" i="4"/>
  <c r="K84" i="4"/>
  <c r="I90" i="4"/>
  <c r="G96" i="4"/>
  <c r="E102" i="4"/>
  <c r="C108" i="4"/>
  <c r="L113" i="4"/>
  <c r="F88" i="4"/>
  <c r="I84" i="4"/>
  <c r="G90" i="4"/>
  <c r="E96" i="4"/>
  <c r="C102" i="4"/>
  <c r="L107" i="4"/>
  <c r="D87" i="4"/>
  <c r="G101" i="4"/>
  <c r="K112" i="4"/>
  <c r="K97" i="4"/>
  <c r="G109" i="4"/>
  <c r="D94" i="4"/>
  <c r="K105" i="4"/>
  <c r="I88" i="4"/>
  <c r="D102" i="4"/>
  <c r="F113" i="4"/>
  <c r="G110" i="4"/>
  <c r="K106" i="4"/>
  <c r="D103" i="4"/>
  <c r="J102" i="4"/>
  <c r="I91" i="4"/>
  <c r="C109" i="4"/>
  <c r="F91" i="4"/>
  <c r="K108" i="4"/>
  <c r="F111" i="4"/>
  <c r="C104" i="4"/>
  <c r="L91" i="4"/>
  <c r="F104" i="4"/>
  <c r="G93" i="4"/>
  <c r="G103" i="4"/>
  <c r="G84" i="4"/>
  <c r="J93" i="4"/>
  <c r="E87" i="4"/>
  <c r="C93" i="4"/>
  <c r="B87" i="4"/>
  <c r="J113" i="4"/>
  <c r="G95" i="4"/>
  <c r="G85" i="4"/>
  <c r="H91" i="4"/>
  <c r="H104" i="4"/>
  <c r="K93" i="4"/>
  <c r="I112" i="4"/>
  <c r="L84" i="4"/>
  <c r="E89" i="4"/>
  <c r="I93" i="4"/>
  <c r="B98" i="4"/>
  <c r="F102" i="4"/>
  <c r="J106" i="4"/>
  <c r="C111" i="4"/>
  <c r="F85" i="4"/>
  <c r="D91" i="4"/>
  <c r="B97" i="4"/>
  <c r="K102" i="4"/>
  <c r="I108" i="4"/>
  <c r="B83" i="4"/>
  <c r="K88" i="4"/>
  <c r="C85" i="4"/>
  <c r="L90" i="4"/>
  <c r="J96" i="4"/>
  <c r="H102" i="4"/>
  <c r="F108" i="4"/>
  <c r="C89" i="4"/>
  <c r="G102" i="4"/>
  <c r="H113" i="4"/>
  <c r="K98" i="4"/>
  <c r="D95" i="4"/>
  <c r="H90" i="4"/>
  <c r="B84" i="4"/>
  <c r="J85" i="4"/>
  <c r="C105" i="4"/>
  <c r="D112" i="4"/>
  <c r="G98" i="4"/>
  <c r="H86" i="4"/>
  <c r="C113" i="4"/>
  <c r="C95" i="4"/>
  <c r="K90" i="4"/>
  <c r="H89" i="4"/>
  <c r="B107" i="4"/>
  <c r="K99" i="4"/>
  <c r="F99" i="4"/>
  <c r="B105" i="4"/>
  <c r="F96" i="4"/>
  <c r="E88" i="4"/>
  <c r="G105" i="4"/>
  <c r="F97" i="4"/>
  <c r="E85" i="4"/>
  <c r="I89" i="4"/>
  <c r="C107" i="4"/>
  <c r="G97" i="4"/>
  <c r="G92" i="4"/>
  <c r="F86" i="4"/>
  <c r="E106" i="4"/>
  <c r="F93" i="4"/>
  <c r="B100" i="4"/>
  <c r="L99" i="4"/>
  <c r="B93" i="4"/>
  <c r="I85" i="4"/>
  <c r="B90" i="4"/>
  <c r="F94" i="4"/>
  <c r="J98" i="4"/>
  <c r="C103" i="4"/>
  <c r="G107" i="4"/>
  <c r="K111" i="4"/>
  <c r="E86" i="4"/>
  <c r="C92" i="4"/>
  <c r="L97" i="4"/>
  <c r="J103" i="4"/>
  <c r="H109" i="4"/>
  <c r="F109" i="4"/>
  <c r="C97" i="4"/>
  <c r="I92" i="4"/>
  <c r="C110" i="4"/>
  <c r="D98" i="4"/>
  <c r="F105" i="4"/>
  <c r="C106" i="4"/>
  <c r="H112" i="4"/>
  <c r="H110" i="4"/>
  <c r="E110" i="4"/>
  <c r="F95" i="4"/>
  <c r="H108" i="4"/>
  <c r="D105" i="4"/>
  <c r="K110" i="4"/>
  <c r="K95" i="4"/>
  <c r="J105" i="4"/>
  <c r="E111" i="4"/>
  <c r="B86" i="4"/>
  <c r="K86" i="4"/>
  <c r="J87" i="4"/>
  <c r="E107" i="4"/>
  <c r="G91" i="4"/>
  <c r="J91" i="4"/>
  <c r="B101" i="4"/>
  <c r="I98" i="4"/>
  <c r="H93" i="4"/>
  <c r="I95" i="4"/>
  <c r="B108" i="4"/>
  <c r="C94" i="4"/>
  <c r="B88" i="4"/>
  <c r="I104" i="4"/>
  <c r="V21" i="4"/>
  <c r="X20" i="4"/>
  <c r="W20" i="4"/>
  <c r="V20" i="4"/>
  <c r="U20" i="4"/>
  <c r="T20" i="4"/>
  <c r="S20" i="4"/>
  <c r="X26" i="4"/>
  <c r="W26" i="4"/>
  <c r="V26" i="4"/>
  <c r="U26" i="4"/>
  <c r="X25" i="4"/>
  <c r="W25" i="4"/>
  <c r="V25" i="4"/>
  <c r="U25" i="4"/>
  <c r="X24" i="4"/>
  <c r="W24" i="4"/>
  <c r="V24" i="4"/>
  <c r="U24" i="4"/>
  <c r="X23" i="4"/>
  <c r="W23" i="4"/>
  <c r="V23" i="4"/>
  <c r="U23" i="4"/>
  <c r="X22" i="4"/>
  <c r="W22" i="4"/>
  <c r="V22" i="4"/>
  <c r="U22" i="4"/>
  <c r="X21" i="4"/>
  <c r="W21" i="4"/>
  <c r="U21" i="4"/>
  <c r="T26" i="4"/>
  <c r="T25" i="4"/>
  <c r="T24" i="4"/>
  <c r="T23" i="4"/>
  <c r="T22" i="4"/>
  <c r="T21" i="4"/>
  <c r="S26" i="4"/>
  <c r="S25" i="4"/>
  <c r="S24" i="4"/>
  <c r="S23" i="4"/>
  <c r="S21" i="4"/>
  <c r="O85" i="4" l="1"/>
  <c r="O99" i="4"/>
  <c r="O106" i="4"/>
  <c r="O107" i="4"/>
  <c r="O105" i="4"/>
  <c r="O88" i="4"/>
  <c r="O83" i="4"/>
  <c r="O98" i="4"/>
  <c r="O100" i="4"/>
  <c r="O95" i="4"/>
  <c r="O91" i="4"/>
  <c r="O109" i="4"/>
  <c r="O90" i="4"/>
  <c r="O89" i="4"/>
  <c r="O111" i="4"/>
  <c r="O96" i="4"/>
  <c r="O113" i="4"/>
  <c r="O101" i="4"/>
  <c r="O108" i="4"/>
  <c r="O84" i="4"/>
  <c r="O92" i="4"/>
  <c r="O103" i="4"/>
  <c r="O104" i="4"/>
  <c r="O94" i="4"/>
  <c r="O97" i="4"/>
  <c r="O93" i="4"/>
  <c r="O110" i="4"/>
  <c r="O112" i="4"/>
  <c r="O86" i="4"/>
  <c r="O87" i="4"/>
  <c r="O102" i="4"/>
  <c r="S2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F7E81F-8471-478F-B4F7-21A6147CFD34}" keepAlive="1" name="Query - SB_INPUT" description="Connection to the 'SB_INPUT' query in the workbook." type="5" refreshedVersion="8" saveData="1">
    <dbPr connection="Provider=Microsoft.Mashup.OleDb.1;Data Source=$Workbook$;Location=SB_INPUT;Extended Properties=&quot;&quot;" command="SELECT * FROM [SB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<sst xmlns="http://schemas.openxmlformats.org/spreadsheetml/2006/main" count="481" uniqueCount="340">
  <si>
    <t>Input:</t>
  </si>
  <si>
    <t>X</t>
  </si>
  <si>
    <t>Disclaimer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</si>
  <si>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</si>
  <si>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</si>
  <si>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</si>
  <si>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</si>
  <si>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</si>
  <si>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</si>
  <si>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</si>
  <si>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</si>
  <si>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A copy of the GNU General Public License may be obtained from:</t>
  </si>
  <si>
    <t>The Free Software Foundation, Inc.</t>
  </si>
  <si>
    <t xml:space="preserve"> 59 Temple Place - Suite 330, Boston, MA  02111-1307, USA.</t>
  </si>
  <si>
    <t xml:space="preserve"> </t>
  </si>
  <si>
    <t>dougjenkins@interactiveds.com.au</t>
  </si>
  <si>
    <t>www.interactiveds.com.au</t>
  </si>
  <si>
    <t>ã</t>
  </si>
  <si>
    <t>Revision History</t>
  </si>
  <si>
    <t>Current Version</t>
  </si>
  <si>
    <t>Rev</t>
  </si>
  <si>
    <t>Date</t>
  </si>
  <si>
    <t>By</t>
  </si>
  <si>
    <t>Description</t>
  </si>
  <si>
    <t>DAJ</t>
  </si>
  <si>
    <t>First release</t>
  </si>
  <si>
    <t>http://newtonexcelbach.wordpress.com/</t>
  </si>
  <si>
    <t>To enter an array function:</t>
  </si>
  <si>
    <t>Enter the function in the top left cell of the output range</t>
  </si>
  <si>
    <t>Select the entire output range</t>
  </si>
  <si>
    <t>Press F2</t>
  </si>
  <si>
    <t>Press Ctrl-shift-enter</t>
  </si>
  <si>
    <t>Output:</t>
  </si>
  <si>
    <t>Deflection</t>
  </si>
  <si>
    <t>Segments</t>
  </si>
  <si>
    <t>Loads</t>
  </si>
  <si>
    <t>Sign Convention</t>
  </si>
  <si>
    <t>Shear Force</t>
  </si>
  <si>
    <t>Length</t>
  </si>
  <si>
    <t xml:space="preserve">   Deflections and loads are positive from left to right</t>
  </si>
  <si>
    <t xml:space="preserve">   Positive bending moments cause compression in the right side of the pile</t>
  </si>
  <si>
    <t>Type</t>
  </si>
  <si>
    <t>Moment</t>
  </si>
  <si>
    <t>Subdivisions</t>
  </si>
  <si>
    <t>Layers</t>
  </si>
  <si>
    <t>Shear</t>
  </si>
  <si>
    <t>Pile EI</t>
  </si>
  <si>
    <t>Pile bending moments, forces and deflection due to lateral loads using a finite difference analysis</t>
  </si>
  <si>
    <t>Pile Lateral Load Analysis Using Finite Difference Method</t>
  </si>
  <si>
    <t xml:space="preserve"> Assuming a vertical pile, with nodes listed from top to bottom:</t>
  </si>
  <si>
    <t xml:space="preserve">         then the last provided value is applied to nodes to the bottom of the pile</t>
  </si>
  <si>
    <t>LatPile Function</t>
  </si>
  <si>
    <t>kPa</t>
  </si>
  <si>
    <t>degrees</t>
  </si>
  <si>
    <t>Eps50</t>
  </si>
  <si>
    <t>m</t>
  </si>
  <si>
    <t>Soil Type</t>
  </si>
  <si>
    <t>Initial stiffness, ki</t>
  </si>
  <si>
    <t>Soil Tables</t>
  </si>
  <si>
    <t>Depth of layer base</t>
  </si>
  <si>
    <t>Bar diameter</t>
  </si>
  <si>
    <t>Diat</t>
  </si>
  <si>
    <t>Numt</t>
  </si>
  <si>
    <t>Bar cover</t>
  </si>
  <si>
    <t>Covt</t>
  </si>
  <si>
    <t>Concrete compressive strength</t>
  </si>
  <si>
    <t>f'c</t>
  </si>
  <si>
    <t>Steel yield stress</t>
  </si>
  <si>
    <t>fys</t>
  </si>
  <si>
    <t>E steel</t>
  </si>
  <si>
    <t>Es</t>
  </si>
  <si>
    <t>E concrete</t>
  </si>
  <si>
    <t>Ec</t>
  </si>
  <si>
    <t>f'ct</t>
  </si>
  <si>
    <t>Concrete shrinkage strain</t>
  </si>
  <si>
    <t>Epscs</t>
  </si>
  <si>
    <t>Depth of base of section</t>
  </si>
  <si>
    <t xml:space="preserve"> 1 to 3</t>
  </si>
  <si>
    <t>Number of cycles</t>
  </si>
  <si>
    <t>Water table depth</t>
  </si>
  <si>
    <t>Axial at head</t>
  </si>
  <si>
    <t>Axial at base</t>
  </si>
  <si>
    <t>EI or Section Type (C or R) for RC</t>
  </si>
  <si>
    <t>Section depth (rectangular sect.)</t>
  </si>
  <si>
    <t>Number of bars*</t>
  </si>
  <si>
    <t xml:space="preserve"> * Total number for circular section, or bars on tensile face for rectangular section</t>
  </si>
  <si>
    <t>Pile diam or width</t>
  </si>
  <si>
    <r>
      <t>Pile EI, kN/m</t>
    </r>
    <r>
      <rPr>
        <vertAlign val="superscript"/>
        <sz val="10"/>
        <rFont val="Arial"/>
        <family val="2"/>
      </rPr>
      <t>2</t>
    </r>
  </si>
  <si>
    <t>Spring stiffness</t>
  </si>
  <si>
    <t>Y</t>
  </si>
  <si>
    <t>P</t>
  </si>
  <si>
    <t>PY Tables</t>
  </si>
  <si>
    <t>Concrete flex. tens. strength</t>
  </si>
  <si>
    <t>Optional input in italics</t>
  </si>
  <si>
    <t xml:space="preserve"> 7 row single column range listing applied loads at head of pile: </t>
  </si>
  <si>
    <t>See below for details of load input</t>
  </si>
  <si>
    <t>Notes: If the depth specified for Soil types and section types does not extend to the bottom of the pile</t>
  </si>
  <si>
    <t xml:space="preserve">          Section stiffness (EI) may be specified as constant in row 3, or calculated for reinforced concrete</t>
  </si>
  <si>
    <t>Soil table</t>
  </si>
  <si>
    <t>Sections table</t>
  </si>
  <si>
    <t>Optional input:</t>
  </si>
  <si>
    <t>PY tables</t>
  </si>
  <si>
    <t xml:space="preserve"> PY curves are used for those soil layers with "PY" in row 2 of the soil table, and Table Number in row 3.</t>
  </si>
  <si>
    <t>Defaults</t>
  </si>
  <si>
    <t xml:space="preserve"> Change system defaults; available parameters and default values are listed below.</t>
  </si>
  <si>
    <t>Output Code options</t>
  </si>
  <si>
    <t xml:space="preserve"> 2: Output Pile EI and soil stiffness only</t>
  </si>
  <si>
    <t xml:space="preserve">          piles of circular or rectangular cross section, to Eurocode 2 method.</t>
  </si>
  <si>
    <t xml:space="preserve">  Shear and moment are specified at the head of the pile.  There is currently no provision for </t>
  </si>
  <si>
    <t xml:space="preserve">  applying loads at other locations.</t>
  </si>
  <si>
    <t xml:space="preserve">  Axial load is assumed to vary linearly from the head to toe of the pile, or bi-linearly from the </t>
  </si>
  <si>
    <t xml:space="preserve">  head to the depth of zero axial, and depth of zero axial to the base.</t>
  </si>
  <si>
    <t xml:space="preserve">  If Depth of zero axial is &lt;=0, &gt;= pile length, or blank, it is ignored.</t>
  </si>
  <si>
    <t>Defaults Table (default values in brackets)</t>
  </si>
  <si>
    <t>Tension stiffening Beta value (0.5)</t>
  </si>
  <si>
    <t>Output</t>
  </si>
  <si>
    <t>Maximum iterations (20)</t>
  </si>
  <si>
    <t>Recommended Typical Soil Properties</t>
  </si>
  <si>
    <t>Source: COM624 Manual</t>
  </si>
  <si>
    <t>Strain at 50% ultimate stress, Eps50</t>
  </si>
  <si>
    <t>Clay Consistency</t>
  </si>
  <si>
    <t>Average Undrained Shear Strength, kPa</t>
  </si>
  <si>
    <t>Soft</t>
  </si>
  <si>
    <t xml:space="preserve"> 10 to 25</t>
  </si>
  <si>
    <t>Medium</t>
  </si>
  <si>
    <t xml:space="preserve"> 25 to 50</t>
  </si>
  <si>
    <t>Stiff</t>
  </si>
  <si>
    <t xml:space="preserve"> 50 to 100</t>
  </si>
  <si>
    <t xml:space="preserve"> 100 to 200</t>
  </si>
  <si>
    <t xml:space="preserve"> 200 to 400</t>
  </si>
  <si>
    <t>Initial soil stiffness, Ki</t>
  </si>
  <si>
    <t>Stiff Clay</t>
  </si>
  <si>
    <t>Static load, kN/m3</t>
  </si>
  <si>
    <t>Cyclic load, kN/m3</t>
  </si>
  <si>
    <t>Sand (static or cyclic)</t>
  </si>
  <si>
    <t>Loose</t>
  </si>
  <si>
    <t>Dense</t>
  </si>
  <si>
    <t>Submerged kN/m3</t>
  </si>
  <si>
    <t>Above water table kN/m3</t>
  </si>
  <si>
    <t>Unit conversion:</t>
  </si>
  <si>
    <t xml:space="preserve"> 1 ton/ft2 = 95.8 kPa</t>
  </si>
  <si>
    <t xml:space="preserve"> 1 lb/in3 = 272 kN/m3</t>
  </si>
  <si>
    <t xml:space="preserve"> Node Position from top, m</t>
  </si>
  <si>
    <t xml:space="preserve"> Deflection, m</t>
  </si>
  <si>
    <t xml:space="preserve"> Bending Moment, kNm</t>
  </si>
  <si>
    <t xml:space="preserve"> Shear force, KN</t>
  </si>
  <si>
    <t>Units</t>
  </si>
  <si>
    <t xml:space="preserve"> All units are kN and m except:</t>
  </si>
  <si>
    <t xml:space="preserve">  Reinforcement bar diameter and cover (mm)</t>
  </si>
  <si>
    <t>Non-linear pile behaviour</t>
  </si>
  <si>
    <t xml:space="preserve"> concrete, including tension stiffening and shrinkage effects if a C (circular) or R (rectangular)</t>
  </si>
  <si>
    <t>Sections Table</t>
  </si>
  <si>
    <t xml:space="preserve"> fixed stiffness (EI) and the entries below are ignored.</t>
  </si>
  <si>
    <t xml:space="preserve"> Note that non-linearity due to steel yielding, or concrete crushing is not included in the analysis.</t>
  </si>
  <si>
    <t xml:space="preserve"> A separate check must be made of steel and concrete stresses.</t>
  </si>
  <si>
    <t xml:space="preserve">  Any other consistent units may be used if a fixed value is entered for the pile flexural stiffness.</t>
  </si>
  <si>
    <t xml:space="preserve">  Concrete Shrinkage (microstrain)</t>
  </si>
  <si>
    <t xml:space="preserve"> is entered in row 3 of the Sections Table.  If a numerical value is entered in row 3 this is used as a </t>
  </si>
  <si>
    <t xml:space="preserve">The calculated pile flexural stiffness takes account of post-cracking behaviour of reinforced </t>
  </si>
  <si>
    <t>Soil cohesion, Cu; or "PY" to use PY table</t>
  </si>
  <si>
    <t>Soil friction angle, Phi, or PY Table number</t>
  </si>
  <si>
    <t>Soil Density</t>
  </si>
  <si>
    <t>Depth of zero axial</t>
  </si>
  <si>
    <t>Code to read first row in input PY tables corrected (row and column indeces reversed)</t>
  </si>
  <si>
    <t>KOption</t>
  </si>
  <si>
    <r>
      <t xml:space="preserve"> =LatPile(Segments, Loads, Soil table, Sections table, </t>
    </r>
    <r>
      <rPr>
        <b/>
        <i/>
        <sz val="10"/>
        <rFont val="Arial"/>
        <family val="2"/>
      </rPr>
      <t>PY tables, Defaults, Output code, Koption</t>
    </r>
    <r>
      <rPr>
        <b/>
        <sz val="10"/>
        <rFont val="Arial"/>
        <family val="2"/>
      </rPr>
      <t>)</t>
    </r>
  </si>
  <si>
    <t xml:space="preserve"> 1: initial stiffness (P/Y) for soil type 2 and 3 = Ki * Depth (as COM625 Manual and LPile)</t>
  </si>
  <si>
    <t xml:space="preserve"> 2: initial stiffness (P/Y) for soil type 2 and 3 = Ki * Diam</t>
  </si>
  <si>
    <t xml:space="preserve"> Copyright  2012 Interactive Design Services Pty Ltd.  all rights reserved</t>
  </si>
  <si>
    <t>kN/m3</t>
  </si>
  <si>
    <t xml:space="preserve"> KN/m3</t>
  </si>
  <si>
    <t>Spring force</t>
  </si>
  <si>
    <t>Depth</t>
  </si>
  <si>
    <t>Column 1</t>
  </si>
  <si>
    <t>Column 2</t>
  </si>
  <si>
    <t>Column 3</t>
  </si>
  <si>
    <t>Column 4</t>
  </si>
  <si>
    <t>Column 5</t>
  </si>
  <si>
    <t>Column 6</t>
  </si>
  <si>
    <t xml:space="preserve"> Range listing pile section properties, 3 to 13 rows x 1 column for each section type</t>
  </si>
  <si>
    <t xml:space="preserve"> Contiguous range with 2 columns for each table: pile deflection(Y) and support force per unit length (P).</t>
  </si>
  <si>
    <t xml:space="preserve"> 1: Output array includes all 6 output columns (see below for details)</t>
  </si>
  <si>
    <t xml:space="preserve"> 2 column range listing pile length and number of segments</t>
  </si>
  <si>
    <t xml:space="preserve"> Range listing soil properties, 7-9 rows x 1 column for each soil type</t>
  </si>
  <si>
    <t>Output is a 6 column array, enter as an array function:</t>
  </si>
  <si>
    <t>Effective depth for wedge failure</t>
  </si>
  <si>
    <t>Effective depth for initial stiffness</t>
  </si>
  <si>
    <t>Soil Type, 0 = "void", 1 = "Soft to firm clay", 2 = "Stiff Clay", 3 = "Sand"</t>
  </si>
  <si>
    <r>
      <t>Soil spring stiffness, kN/m</t>
    </r>
    <r>
      <rPr>
        <vertAlign val="superscript"/>
        <sz val="10"/>
        <rFont val="Arial"/>
        <family val="2"/>
      </rPr>
      <t>2</t>
    </r>
  </si>
  <si>
    <t>Other Functions</t>
  </si>
  <si>
    <t>PY624tab Function</t>
  </si>
  <si>
    <t>Table of soil stiffness values at a specified effective depth</t>
  </si>
  <si>
    <r>
      <t xml:space="preserve"> =PY624tab(Soil data, Pile Sections, Loads, Deflections, </t>
    </r>
    <r>
      <rPr>
        <b/>
        <i/>
        <sz val="10"/>
        <rFont val="Arial"/>
        <family val="2"/>
      </rPr>
      <t>Koption</t>
    </r>
    <r>
      <rPr>
        <b/>
        <sz val="10"/>
        <rFont val="Arial"/>
        <family val="2"/>
      </rPr>
      <t>)</t>
    </r>
  </si>
  <si>
    <t>Soil data</t>
  </si>
  <si>
    <t>Pile Sections</t>
  </si>
  <si>
    <t xml:space="preserve"> As LatPile function, except that rows 8 and 9 are not optional</t>
  </si>
  <si>
    <t xml:space="preserve"> As LatPile function</t>
  </si>
  <si>
    <t>Output is a single column array , enter as an array function:</t>
  </si>
  <si>
    <t>Spring force/m of pile for each input deflection</t>
  </si>
  <si>
    <t>Deflections</t>
  </si>
  <si>
    <t xml:space="preserve"> Single column range listing pile deflection in ascending order</t>
  </si>
  <si>
    <t>PfEffDepth Function</t>
  </si>
  <si>
    <t>Returns the maximum soil resistance per metre due to wedge failure at a specified effective depth</t>
  </si>
  <si>
    <r>
      <t xml:space="preserve"> =PfEffDepth(Soil data, Pile EffDepth, </t>
    </r>
    <r>
      <rPr>
        <b/>
        <i/>
        <sz val="10"/>
        <rFont val="Arial"/>
        <family val="2"/>
      </rPr>
      <t>PYTabsA</t>
    </r>
    <r>
      <rPr>
        <b/>
        <sz val="10"/>
        <rFont val="Arial"/>
        <family val="2"/>
      </rPr>
      <t>)</t>
    </r>
  </si>
  <si>
    <t xml:space="preserve"> As LatPile function, except that row 1 is pile diameter and rows 8 and 9 are not required</t>
  </si>
  <si>
    <t>Eff Depth</t>
  </si>
  <si>
    <t xml:space="preserve"> Effective depth at which the soil stiffness is required</t>
  </si>
  <si>
    <t>PYTabsA</t>
  </si>
  <si>
    <t>Maximum Spring force/m due to wedge failure</t>
  </si>
  <si>
    <t xml:space="preserve"> Effective depths at the top of each layer may optionally be entered in rows 8 and 9</t>
  </si>
  <si>
    <t xml:space="preserve"> See SoilProps sheet for further details of how Effective Depths are calculated.</t>
  </si>
  <si>
    <t>Effective Depth</t>
  </si>
  <si>
    <t xml:space="preserve">If the ultimate resistance is controlled by wedge sliding, the resistance at any level is the sum of the </t>
  </si>
  <si>
    <t>resistances from each layer above.</t>
  </si>
  <si>
    <t>When a pile with a layered soil is analysed, the upper soil layers affect the lower layers in three respects:</t>
  </si>
  <si>
    <t>If the ultimate resistance is controlled by flow with a granular soil the reisitance is related to the vertical</t>
  </si>
  <si>
    <t>pressure at the level of analysis.</t>
  </si>
  <si>
    <t>The initial stiffness for type 2 and 3 soils is proportional to the vertical pressure at the level of analysis.</t>
  </si>
  <si>
    <t>To allow for these effects the LatPile function calculates two effective depths:</t>
  </si>
  <si>
    <t xml:space="preserve">  resistance as the actual soil layers above the top of Layer L.</t>
  </si>
  <si>
    <t xml:space="preserve">  i)  The depth of soil with the same properties as Layer L that would have the same wedge sliding</t>
  </si>
  <si>
    <t xml:space="preserve">  ii)  The depth of the point below the top of Layer L</t>
  </si>
  <si>
    <t>1) The effective depth for wedge failure for a point within any layer, L, has two components:</t>
  </si>
  <si>
    <t xml:space="preserve">2) The effective depth for vertical pressure for a point within a layer, L, is the depth of material that </t>
  </si>
  <si>
    <t xml:space="preserve">  would have the same vertical pressure as that due to the actual soils layers above the point.</t>
  </si>
  <si>
    <t>Depths 1) and 2) are calculated by the LatPile function, or may optionally be specified for the top</t>
  </si>
  <si>
    <t>Example PY Curves; Data from Examples sheet</t>
  </si>
  <si>
    <t>COM 624 Output</t>
  </si>
  <si>
    <t xml:space="preserve"> PY624tab</t>
  </si>
  <si>
    <t>Force</t>
  </si>
  <si>
    <t>in</t>
  </si>
  <si>
    <t>lb/in</t>
  </si>
  <si>
    <t>Depth = 40 in below surface</t>
  </si>
  <si>
    <t>Depth = 100 in below surface</t>
  </si>
  <si>
    <t>Depth = 220 in below surface</t>
  </si>
  <si>
    <t>Depth = 340 in below surface</t>
  </si>
  <si>
    <t>Depth of point</t>
  </si>
  <si>
    <t>KOption added; PY624tab function added; PY_624 function modified, effective depth input added</t>
  </si>
  <si>
    <t>Example 1: Example 2 from COM624 Manual</t>
  </si>
  <si>
    <t>lb, in-lb</t>
  </si>
  <si>
    <t>Deflection, in</t>
  </si>
  <si>
    <t>Moment, in-lb</t>
  </si>
  <si>
    <t>Shear, lb</t>
  </si>
  <si>
    <t>Soil Resist, lb/in</t>
  </si>
  <si>
    <t>layer</t>
  </si>
  <si>
    <t>EffDepth1</t>
  </si>
  <si>
    <t>EffDepth2</t>
  </si>
  <si>
    <t>pf</t>
  </si>
  <si>
    <t>ii</t>
  </si>
  <si>
    <t>lb-in2</t>
  </si>
  <si>
    <t>}</t>
  </si>
  <si>
    <t>}N/A with non-metric</t>
  </si>
  <si>
    <t>} units</t>
  </si>
  <si>
    <t>of each layer as rows 8 and 9 of the Soil Properties Table.</t>
  </si>
  <si>
    <t>Layer top Effective depth for wedge failure (optional)</t>
  </si>
  <si>
    <t>Layer top Effective depth for initial stiffness (optional)</t>
  </si>
  <si>
    <t>Tolerance on deflection norm (0.001)</t>
  </si>
  <si>
    <t>Tolerance on soil stiffness norm (0.001)</t>
  </si>
  <si>
    <t>Tolerance on section stiffness norm (0.001)</t>
  </si>
  <si>
    <t>PY curve corrected for Soil type 1,  3*Eps50 &lt; Y &lt; 15*Eps50 and Type 2 below water table, As*Y50 &lt; Y &lt; 6*As*Y50</t>
  </si>
  <si>
    <t>Effective depth calculation code modified so that blank rows 8 and 9 in the soil table are ignored.</t>
  </si>
  <si>
    <t xml:space="preserve">BORING 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</si>
  <si>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</si>
  <si>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</si>
  <si>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</si>
  <si>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START</t>
  </si>
  <si>
    <t>END</t>
  </si>
  <si>
    <t>MODEL</t>
  </si>
  <si>
    <t>DENSITY</t>
  </si>
  <si>
    <t>COHESION
ULT.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</si>
  <si>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</si>
  <si>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</si>
  <si>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</si>
  <si>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</si>
  <si>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0"/>
        <rFont val="Symbol"/>
        <family val="1"/>
        <charset val="2"/>
      </rPr>
      <t>f</t>
    </r>
    <r>
      <rPr>
        <b/>
        <sz val="16"/>
        <color theme="0"/>
        <rFont val="Calibri"/>
        <family val="2"/>
        <scheme val="minor"/>
      </rPr>
      <t>K</t>
    </r>
    <r>
      <rPr>
        <b/>
        <vertAlign val="subscript"/>
        <sz val="16"/>
        <color theme="0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</si>
  <si>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0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</si>
  <si>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0"/>
        <rFont val="Symbol"/>
        <family val="1"/>
        <charset val="2"/>
      </rPr>
      <t>50</t>
    </r>
  </si>
  <si>
    <t>SOFT CLAY</t>
  </si>
  <si>
    <t>LEAN AND FAT CLAY</t>
  </si>
  <si>
    <t>FAT CLAY</t>
  </si>
  <si>
    <t>SHALE</t>
  </si>
  <si>
    <t>SB2</t>
  </si>
  <si>
    <t>SB3</t>
  </si>
  <si>
    <t>Total</t>
  </si>
  <si>
    <t>Phi</t>
  </si>
  <si>
    <t>Soil Density (lb/in^3)</t>
  </si>
  <si>
    <t>Strain @ 50%</t>
  </si>
  <si>
    <t>Initial Stiffness</t>
  </si>
  <si>
    <t>https://newtonexcelbach.com/2011/07/09/using-latpilepy/</t>
  </si>
  <si>
    <t>LAYERS</t>
  </si>
  <si>
    <t>LOADS</t>
  </si>
  <si>
    <t>TYPE</t>
  </si>
  <si>
    <t>lb, lb-in</t>
  </si>
  <si>
    <t>SHEAR</t>
  </si>
  <si>
    <t>DEPTH OF ZERO AXIAL</t>
  </si>
  <si>
    <t>NUMBER OF CYCLES</t>
  </si>
  <si>
    <t>SUBDIVISIONS</t>
  </si>
  <si>
    <t>SECTIONS TABLE</t>
  </si>
  <si>
    <t>EI OR SECTION TYPE (C or R)</t>
  </si>
  <si>
    <t>C</t>
  </si>
  <si>
    <t>BAR DIAMETER</t>
  </si>
  <si>
    <t>BAR COVER</t>
  </si>
  <si>
    <t>F'C</t>
  </si>
  <si>
    <t>psi</t>
  </si>
  <si>
    <t>STEEL YIELD STRENGTH</t>
  </si>
  <si>
    <t>E of STEEL</t>
  </si>
  <si>
    <t>VALUE</t>
  </si>
  <si>
    <t>UNITS</t>
  </si>
  <si>
    <t>E of CONCRETE</t>
  </si>
  <si>
    <t>CONCRETE FLEX. TENSILE STRENGTH</t>
  </si>
  <si>
    <t>CONCRETE SHRINKAGE STRAIN</t>
  </si>
  <si>
    <t>SECTION DEPTH (rect. Sect.)</t>
  </si>
  <si>
    <t>NUMBER OF BARS</t>
  </si>
  <si>
    <t>MOMENT</t>
  </si>
  <si>
    <t>strain</t>
  </si>
  <si>
    <t>Average Undrained Shear Strengths, lbf/ft^2</t>
  </si>
  <si>
    <t>LAYER 01</t>
  </si>
  <si>
    <t>LAYER 02</t>
  </si>
  <si>
    <t>LAYER 03</t>
  </si>
  <si>
    <t>LAYER 04</t>
  </si>
  <si>
    <t>SB6</t>
  </si>
  <si>
    <t>STIFF CLAY</t>
  </si>
  <si>
    <t>LENGTH (inches)</t>
  </si>
  <si>
    <t>Z</t>
  </si>
  <si>
    <t>EI (CALCULATED)</t>
  </si>
  <si>
    <t>DEPTH (in)</t>
  </si>
  <si>
    <t>DEFLECTION</t>
  </si>
  <si>
    <t>KIPS</t>
  </si>
  <si>
    <t>INCHES</t>
  </si>
  <si>
    <t>KIP-FEET</t>
  </si>
  <si>
    <t>-</t>
  </si>
  <si>
    <t>Cu (psi)</t>
  </si>
  <si>
    <t>LAYER 05</t>
  </si>
  <si>
    <t>AXIAL AT TOP</t>
  </si>
  <si>
    <t>AXIAL AT BOTTOM</t>
  </si>
  <si>
    <t>DEPTH OF WATER TABLE</t>
  </si>
  <si>
    <t>DEPTH OF BASE OF SECTION</t>
  </si>
  <si>
    <t>PILE DIAMETER</t>
  </si>
  <si>
    <t>COHESION
ULT. (PSF)</t>
  </si>
  <si>
    <t>COHESION
FACT. (PSF)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</si>
</sst>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0.000"/>
    <numFmt numFmtId="166" formatCode="0.000000"/>
    <numFmt numFmtId="167" formatCode="_(* #,##0_);_(* \(#,##0\);_(* &quot;-&quot;??_);_(@_)"/>
    <numFmt numFmtId="168" formatCode="0.000E+00"/>
    <numFmt numFmtId="169" formatCode="_-* #,##0_-;\-* #,##0_-;_-* &quot;-&quot;??_-;_-@_-"/>
    <numFmt numFmtId="170" formatCode="0.0000"/>
    <numFmt numFmtId="171" formatCode="0.0000E+00"/>
  </numFmts>
  <fonts count="4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Symbol"/>
      <family val="1"/>
      <charset val="2"/>
    </font>
    <font>
      <sz val="12"/>
      <name val="Symbol"/>
      <family val="1"/>
      <charset val="2"/>
    </font>
    <font>
      <sz val="11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0"/>
      <name val="Calibri"/>
      <family val="1"/>
      <charset val="2"/>
      <scheme val="minor"/>
    </font>
    <font>
      <b/>
      <sz val="16"/>
      <color theme="0"/>
      <name val="Symbol"/>
      <family val="1"/>
      <charset val="2"/>
    </font>
    <font>
      <b/>
      <sz val="16"/>
      <color theme="0"/>
      <name val="Calibri"/>
      <family val="2"/>
      <scheme val="minor"/>
    </font>
    <font>
      <b/>
      <vertAlign val="subscript"/>
      <sz val="16"/>
      <color theme="0"/>
      <name val="Calibri"/>
      <family val="2"/>
      <scheme val="minor"/>
    </font>
    <font>
      <b/>
      <vertAlign val="subscript"/>
      <sz val="16"/>
      <color theme="0"/>
      <name val="Symbol"/>
      <family val="1"/>
      <charset val="2"/>
    </font>
    <font>
      <sz val="8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8" fillId="0" borderId="0"/>
    <xf numFmtId="0" fontId="5" fillId="0" borderId="0"/>
  </cellStyleXfs>
  <cellXfs count="307">
    <xf numFmtId="0" fontId="0" fillId="0" borderId="0" xfId="0"/>
    <xf numFmtId="0" fontId="10" fillId="0" borderId="0" xfId="0" applyFont="1"/>
    <xf numFmtId="0" fontId="10" fillId="0" borderId="0" xfId="0" quotePrefix="1" applyFont="1" applyAlignment="1">
      <alignment horizontal="left"/>
    </xf>
    <xf numFmtId="0" fontId="10" fillId="0" borderId="0" xfId="0" applyFont="1" applyAlignment="1">
      <alignment horizontal="left"/>
    </xf>
    <xf numFmtId="165" fontId="0" fillId="0" borderId="0" xfId="0" applyNumberFormat="1"/>
    <xf numFmtId="0" fontId="14" fillId="0" borderId="0" xfId="0" quotePrefix="1" applyFont="1" applyAlignment="1">
      <alignment horizontal="left"/>
    </xf>
    <xf numFmtId="0" fontId="12" fillId="0" borderId="0" xfId="0" quotePrefix="1" applyFont="1" applyAlignment="1">
      <alignment horizontal="left"/>
    </xf>
    <xf numFmtId="0" fontId="0" fillId="0" borderId="1" xfId="0" applyBorder="1"/>
    <xf numFmtId="11" fontId="0" fillId="0" borderId="0" xfId="0" applyNumberFormat="1"/>
    <xf numFmtId="0" fontId="15" fillId="0" borderId="0" xfId="0" applyFont="1"/>
    <xf numFmtId="0" fontId="16" fillId="0" borderId="0" xfId="0" applyFont="1"/>
    <xf numFmtId="0" fontId="15" fillId="0" borderId="0" xfId="0" quotePrefix="1" applyFont="1" applyAlignment="1">
      <alignment horizontal="left"/>
    </xf>
    <xf numFmtId="0" fontId="16" fillId="0" borderId="0" xfId="0" applyFont="1" applyAlignment="1">
      <alignment horizontal="centerContinuous" wrapText="1"/>
    </xf>
    <xf numFmtId="0" fontId="13" fillId="0" borderId="0" xfId="2" applyNumberFormat="1" applyAlignment="1" applyProtection="1"/>
    <xf numFmtId="0" fontId="16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16" fillId="0" borderId="0" xfId="0" quotePrefix="1" applyFont="1" applyAlignment="1">
      <alignment horizontal="left"/>
    </xf>
    <xf numFmtId="0" fontId="18" fillId="0" borderId="0" xfId="0" applyFont="1" applyAlignment="1">
      <alignment horizontal="right"/>
    </xf>
    <xf numFmtId="0" fontId="21" fillId="0" borderId="0" xfId="0" applyFont="1"/>
    <xf numFmtId="2" fontId="21" fillId="0" borderId="0" xfId="0" applyNumberFormat="1" applyFont="1"/>
    <xf numFmtId="15" fontId="21" fillId="0" borderId="0" xfId="0" applyNumberFormat="1" applyFont="1"/>
    <xf numFmtId="0" fontId="14" fillId="0" borderId="0" xfId="0" applyFont="1"/>
    <xf numFmtId="0" fontId="0" fillId="0" borderId="2" xfId="0" applyBorder="1"/>
    <xf numFmtId="0" fontId="0" fillId="0" borderId="3" xfId="0" applyBorder="1"/>
    <xf numFmtId="0" fontId="10" fillId="0" borderId="4" xfId="0" applyFont="1" applyBorder="1"/>
    <xf numFmtId="0" fontId="0" fillId="0" borderId="4" xfId="0" applyBorder="1"/>
    <xf numFmtId="0" fontId="10" fillId="0" borderId="5" xfId="0" applyFont="1" applyBorder="1"/>
    <xf numFmtId="0" fontId="10" fillId="0" borderId="7" xfId="0" applyFont="1" applyBorder="1"/>
    <xf numFmtId="0" fontId="0" fillId="0" borderId="5" xfId="0" applyBorder="1"/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0" fillId="0" borderId="10" xfId="0" applyBorder="1"/>
    <xf numFmtId="0" fontId="10" fillId="0" borderId="8" xfId="0" quotePrefix="1" applyFont="1" applyBorder="1" applyAlignment="1">
      <alignment horizontal="center"/>
    </xf>
    <xf numFmtId="164" fontId="0" fillId="0" borderId="0" xfId="0" applyNumberFormat="1"/>
    <xf numFmtId="11" fontId="10" fillId="0" borderId="5" xfId="0" applyNumberFormat="1" applyFont="1" applyBorder="1" applyAlignment="1">
      <alignment horizontal="center"/>
    </xf>
    <xf numFmtId="0" fontId="12" fillId="0" borderId="0" xfId="0" applyFont="1"/>
    <xf numFmtId="0" fontId="10" fillId="0" borderId="5" xfId="0" applyFont="1" applyBorder="1" applyAlignment="1">
      <alignment horizontal="center"/>
    </xf>
    <xf numFmtId="11" fontId="0" fillId="0" borderId="5" xfId="0" applyNumberFormat="1" applyBorder="1"/>
    <xf numFmtId="0" fontId="0" fillId="3" borderId="4" xfId="0" applyFill="1" applyBorder="1"/>
    <xf numFmtId="0" fontId="0" fillId="3" borderId="7" xfId="0" applyFill="1" applyBorder="1"/>
    <xf numFmtId="1" fontId="0" fillId="3" borderId="7" xfId="0" applyNumberFormat="1" applyFill="1" applyBorder="1"/>
    <xf numFmtId="1" fontId="0" fillId="3" borderId="4" xfId="0" applyNumberFormat="1" applyFill="1" applyBorder="1"/>
    <xf numFmtId="164" fontId="10" fillId="4" borderId="1" xfId="0" applyNumberFormat="1" applyFont="1" applyFill="1" applyBorder="1"/>
    <xf numFmtId="164" fontId="22" fillId="2" borderId="4" xfId="0" applyNumberFormat="1" applyFont="1" applyFill="1" applyBorder="1" applyProtection="1">
      <protection locked="0"/>
    </xf>
    <xf numFmtId="164" fontId="22" fillId="2" borderId="5" xfId="0" applyNumberFormat="1" applyFont="1" applyFill="1" applyBorder="1" applyProtection="1">
      <protection locked="0"/>
    </xf>
    <xf numFmtId="2" fontId="0" fillId="0" borderId="0" xfId="0" applyNumberFormat="1"/>
    <xf numFmtId="2" fontId="0" fillId="0" borderId="0" xfId="1" applyNumberFormat="1" applyFont="1"/>
    <xf numFmtId="11" fontId="0" fillId="0" borderId="0" xfId="1" applyNumberFormat="1" applyFont="1"/>
    <xf numFmtId="166" fontId="10" fillId="4" borderId="1" xfId="0" applyNumberFormat="1" applyFont="1" applyFill="1" applyBorder="1"/>
    <xf numFmtId="167" fontId="10" fillId="4" borderId="1" xfId="1" applyNumberFormat="1" applyFont="1" applyFill="1" applyBorder="1"/>
    <xf numFmtId="164" fontId="10" fillId="4" borderId="2" xfId="0" applyNumberFormat="1" applyFont="1" applyFill="1" applyBorder="1"/>
    <xf numFmtId="166" fontId="10" fillId="4" borderId="2" xfId="0" applyNumberFormat="1" applyFont="1" applyFill="1" applyBorder="1"/>
    <xf numFmtId="167" fontId="10" fillId="4" borderId="2" xfId="1" applyNumberFormat="1" applyFont="1" applyFill="1" applyBorder="1"/>
    <xf numFmtId="166" fontId="10" fillId="4" borderId="3" xfId="0" applyNumberFormat="1" applyFont="1" applyFill="1" applyBorder="1"/>
    <xf numFmtId="164" fontId="10" fillId="4" borderId="3" xfId="0" applyNumberFormat="1" applyFont="1" applyFill="1" applyBorder="1"/>
    <xf numFmtId="167" fontId="10" fillId="4" borderId="3" xfId="1" applyNumberFormat="1" applyFont="1" applyFill="1" applyBorder="1"/>
    <xf numFmtId="166" fontId="10" fillId="4" borderId="4" xfId="0" applyNumberFormat="1" applyFont="1" applyFill="1" applyBorder="1"/>
    <xf numFmtId="0" fontId="10" fillId="0" borderId="8" xfId="0" quotePrefix="1" applyFont="1" applyBorder="1" applyAlignment="1">
      <alignment horizontal="center" wrapText="1"/>
    </xf>
    <xf numFmtId="0" fontId="10" fillId="0" borderId="13" xfId="0" applyFont="1" applyBorder="1"/>
    <xf numFmtId="0" fontId="0" fillId="0" borderId="9" xfId="0" applyBorder="1"/>
    <xf numFmtId="0" fontId="10" fillId="0" borderId="2" xfId="0" applyFont="1" applyBorder="1"/>
    <xf numFmtId="0" fontId="10" fillId="0" borderId="14" xfId="0" applyFont="1" applyBorder="1"/>
    <xf numFmtId="0" fontId="0" fillId="0" borderId="14" xfId="0" applyBorder="1"/>
    <xf numFmtId="0" fontId="10" fillId="0" borderId="1" xfId="0" applyFont="1" applyBorder="1"/>
    <xf numFmtId="0" fontId="0" fillId="0" borderId="12" xfId="0" applyBorder="1"/>
    <xf numFmtId="0" fontId="10" fillId="0" borderId="10" xfId="0" applyFont="1" applyBorder="1"/>
    <xf numFmtId="3" fontId="19" fillId="0" borderId="1" xfId="0" applyNumberFormat="1" applyFont="1" applyBorder="1"/>
    <xf numFmtId="0" fontId="10" fillId="0" borderId="3" xfId="0" applyFont="1" applyBorder="1"/>
    <xf numFmtId="164" fontId="22" fillId="2" borderId="7" xfId="0" applyNumberFormat="1" applyFont="1" applyFill="1" applyBorder="1" applyProtection="1">
      <protection locked="0"/>
    </xf>
    <xf numFmtId="0" fontId="23" fillId="0" borderId="0" xfId="0" quotePrefix="1" applyFont="1" applyAlignment="1">
      <alignment horizontal="left"/>
    </xf>
    <xf numFmtId="0" fontId="23" fillId="0" borderId="0" xfId="0" applyFont="1"/>
    <xf numFmtId="165" fontId="22" fillId="2" borderId="4" xfId="0" applyNumberFormat="1" applyFont="1" applyFill="1" applyBorder="1" applyAlignment="1" applyProtection="1">
      <alignment horizontal="right"/>
      <protection locked="0"/>
    </xf>
    <xf numFmtId="165" fontId="22" fillId="2" borderId="4" xfId="0" applyNumberFormat="1" applyFont="1" applyFill="1" applyBorder="1" applyProtection="1">
      <protection locked="0"/>
    </xf>
    <xf numFmtId="3" fontId="19" fillId="0" borderId="3" xfId="0" applyNumberFormat="1" applyFont="1" applyBorder="1"/>
    <xf numFmtId="165" fontId="22" fillId="2" borderId="5" xfId="0" applyNumberFormat="1" applyFont="1" applyFill="1" applyBorder="1" applyProtection="1">
      <protection locked="0"/>
    </xf>
    <xf numFmtId="4" fontId="0" fillId="0" borderId="0" xfId="0" applyNumberFormat="1"/>
    <xf numFmtId="0" fontId="24" fillId="0" borderId="0" xfId="0" applyFont="1"/>
    <xf numFmtId="0" fontId="25" fillId="0" borderId="0" xfId="0" applyFont="1" applyProtection="1">
      <protection locked="0" hidden="1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11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24" fillId="0" borderId="7" xfId="0" applyFont="1" applyBorder="1"/>
    <xf numFmtId="169" fontId="9" fillId="0" borderId="0" xfId="1" applyNumberFormat="1" applyFont="1" applyBorder="1"/>
    <xf numFmtId="169" fontId="9" fillId="0" borderId="4" xfId="1" applyNumberFormat="1" applyFont="1" applyBorder="1"/>
    <xf numFmtId="169" fontId="9" fillId="0" borderId="1" xfId="1" applyNumberFormat="1" applyFont="1" applyBorder="1"/>
    <xf numFmtId="0" fontId="25" fillId="0" borderId="0" xfId="0" applyFont="1" applyProtection="1">
      <protection hidden="1"/>
    </xf>
    <xf numFmtId="169" fontId="9" fillId="0" borderId="12" xfId="1" applyNumberFormat="1" applyFont="1" applyBorder="1"/>
    <xf numFmtId="169" fontId="9" fillId="0" borderId="5" xfId="1" applyNumberFormat="1" applyFont="1" applyBorder="1"/>
    <xf numFmtId="169" fontId="9" fillId="0" borderId="3" xfId="1" applyNumberFormat="1" applyFont="1" applyBorder="1"/>
    <xf numFmtId="0" fontId="24" fillId="0" borderId="4" xfId="0" applyFont="1" applyBorder="1"/>
    <xf numFmtId="169" fontId="9" fillId="0" borderId="11" xfId="1" applyNumberFormat="1" applyFont="1" applyBorder="1" applyAlignment="1">
      <alignment horizontal="center"/>
    </xf>
    <xf numFmtId="169" fontId="9" fillId="0" borderId="8" xfId="1" applyNumberFormat="1" applyFont="1" applyBorder="1" applyAlignment="1">
      <alignment horizontal="center"/>
    </xf>
    <xf numFmtId="169" fontId="9" fillId="0" borderId="6" xfId="1" applyNumberFormat="1" applyFont="1" applyBorder="1" applyAlignment="1">
      <alignment horizontal="center"/>
    </xf>
    <xf numFmtId="169" fontId="9" fillId="0" borderId="0" xfId="1" applyNumberFormat="1" applyFont="1"/>
    <xf numFmtId="167" fontId="22" fillId="2" borderId="4" xfId="1" applyNumberFormat="1" applyFont="1" applyFill="1" applyBorder="1" applyAlignment="1" applyProtection="1">
      <protection locked="0"/>
    </xf>
    <xf numFmtId="0" fontId="12" fillId="0" borderId="0" xfId="0" applyFont="1" applyAlignment="1">
      <alignment horizontal="left"/>
    </xf>
    <xf numFmtId="167" fontId="22" fillId="2" borderId="4" xfId="0" applyNumberFormat="1" applyFont="1" applyFill="1" applyBorder="1" applyProtection="1">
      <protection locked="0"/>
    </xf>
    <xf numFmtId="1" fontId="22" fillId="2" borderId="4" xfId="0" applyNumberFormat="1" applyFont="1" applyFill="1" applyBorder="1" applyProtection="1">
      <protection locked="0"/>
    </xf>
    <xf numFmtId="3" fontId="10" fillId="0" borderId="1" xfId="0" applyNumberFormat="1" applyFont="1" applyBorder="1"/>
    <xf numFmtId="0" fontId="10" fillId="0" borderId="12" xfId="0" applyFont="1" applyBorder="1"/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0" fillId="3" borderId="4" xfId="0" applyFont="1" applyFill="1" applyBorder="1"/>
    <xf numFmtId="165" fontId="10" fillId="4" borderId="7" xfId="0" applyNumberFormat="1" applyFont="1" applyFill="1" applyBorder="1" applyAlignment="1">
      <alignment horizontal="center"/>
    </xf>
    <xf numFmtId="165" fontId="10" fillId="4" borderId="4" xfId="0" applyNumberFormat="1" applyFont="1" applyFill="1" applyBorder="1" applyAlignment="1">
      <alignment horizontal="center"/>
    </xf>
    <xf numFmtId="165" fontId="10" fillId="4" borderId="5" xfId="0" applyNumberFormat="1" applyFont="1" applyFill="1" applyBorder="1" applyAlignment="1">
      <alignment horizontal="center"/>
    </xf>
    <xf numFmtId="11" fontId="22" fillId="2" borderId="4" xfId="0" applyNumberFormat="1" applyFont="1" applyFill="1" applyBorder="1" applyAlignment="1" applyProtection="1">
      <alignment horizontal="center"/>
      <protection locked="0"/>
    </xf>
    <xf numFmtId="11" fontId="10" fillId="0" borderId="0" xfId="0" applyNumberFormat="1" applyFont="1"/>
    <xf numFmtId="170" fontId="0" fillId="0" borderId="0" xfId="0" applyNumberFormat="1"/>
    <xf numFmtId="11" fontId="10" fillId="4" borderId="2" xfId="0" applyNumberFormat="1" applyFont="1" applyFill="1" applyBorder="1"/>
    <xf numFmtId="168" fontId="10" fillId="4" borderId="2" xfId="1" applyNumberFormat="1" applyFont="1" applyFill="1" applyBorder="1"/>
    <xf numFmtId="168" fontId="10" fillId="4" borderId="1" xfId="1" applyNumberFormat="1" applyFont="1" applyFill="1" applyBorder="1"/>
    <xf numFmtId="168" fontId="10" fillId="4" borderId="3" xfId="1" applyNumberFormat="1" applyFont="1" applyFill="1" applyBorder="1"/>
    <xf numFmtId="1" fontId="0" fillId="0" borderId="0" xfId="0" applyNumberFormat="1"/>
    <xf numFmtId="1" fontId="10" fillId="3" borderId="7" xfId="3" applyNumberFormat="1" applyFill="1" applyBorder="1"/>
    <xf numFmtId="2" fontId="10" fillId="3" borderId="4" xfId="3" applyNumberFormat="1" applyFill="1" applyBorder="1" applyAlignment="1">
      <alignment horizontal="right"/>
    </xf>
    <xf numFmtId="1" fontId="10" fillId="3" borderId="4" xfId="3" applyNumberFormat="1" applyFill="1" applyBorder="1"/>
    <xf numFmtId="165" fontId="10" fillId="3" borderId="4" xfId="3" applyNumberFormat="1" applyFill="1" applyBorder="1"/>
    <xf numFmtId="170" fontId="10" fillId="3" borderId="4" xfId="3" applyNumberFormat="1" applyFill="1" applyBorder="1"/>
    <xf numFmtId="166" fontId="0" fillId="0" borderId="0" xfId="0" applyNumberFormat="1"/>
    <xf numFmtId="11" fontId="0" fillId="0" borderId="0" xfId="0" applyNumberFormat="1" applyAlignment="1">
      <alignment horizontal="center"/>
    </xf>
    <xf numFmtId="1" fontId="10" fillId="3" borderId="0" xfId="3" applyNumberFormat="1" applyFill="1"/>
    <xf numFmtId="1" fontId="10" fillId="3" borderId="2" xfId="3" applyNumberFormat="1" applyFill="1" applyBorder="1"/>
    <xf numFmtId="2" fontId="10" fillId="3" borderId="1" xfId="3" applyNumberFormat="1" applyFill="1" applyBorder="1" applyAlignment="1">
      <alignment horizontal="right"/>
    </xf>
    <xf numFmtId="165" fontId="10" fillId="3" borderId="1" xfId="3" applyNumberFormat="1" applyFill="1" applyBorder="1"/>
    <xf numFmtId="170" fontId="10" fillId="3" borderId="1" xfId="3" applyNumberFormat="1" applyFill="1" applyBorder="1"/>
    <xf numFmtId="1" fontId="10" fillId="3" borderId="1" xfId="3" applyNumberFormat="1" applyFill="1" applyBorder="1"/>
    <xf numFmtId="1" fontId="10" fillId="3" borderId="9" xfId="3" applyNumberFormat="1" applyFill="1" applyBorder="1"/>
    <xf numFmtId="2" fontId="10" fillId="3" borderId="0" xfId="3" applyNumberFormat="1" applyFill="1" applyAlignment="1">
      <alignment horizontal="right"/>
    </xf>
    <xf numFmtId="165" fontId="10" fillId="3" borderId="0" xfId="3" applyNumberFormat="1" applyFill="1"/>
    <xf numFmtId="170" fontId="10" fillId="3" borderId="0" xfId="3" applyNumberFormat="1" applyFill="1"/>
    <xf numFmtId="0" fontId="0" fillId="5" borderId="4" xfId="0" applyFill="1" applyBorder="1"/>
    <xf numFmtId="1" fontId="0" fillId="5" borderId="0" xfId="0" applyNumberFormat="1" applyFill="1"/>
    <xf numFmtId="1" fontId="0" fillId="5" borderId="4" xfId="0" applyNumberFormat="1" applyFill="1" applyBorder="1"/>
    <xf numFmtId="1" fontId="0" fillId="5" borderId="1" xfId="0" applyNumberFormat="1" applyFill="1" applyBorder="1"/>
    <xf numFmtId="0" fontId="0" fillId="5" borderId="5" xfId="0" applyFill="1" applyBorder="1"/>
    <xf numFmtId="1" fontId="0" fillId="5" borderId="12" xfId="0" applyNumberFormat="1" applyFill="1" applyBorder="1"/>
    <xf numFmtId="1" fontId="0" fillId="5" borderId="5" xfId="0" applyNumberFormat="1" applyFill="1" applyBorder="1"/>
    <xf numFmtId="1" fontId="0" fillId="5" borderId="3" xfId="0" applyNumberFormat="1" applyFill="1" applyBorder="1"/>
    <xf numFmtId="1" fontId="0" fillId="3" borderId="0" xfId="0" applyNumberFormat="1" applyFill="1"/>
    <xf numFmtId="1" fontId="0" fillId="3" borderId="1" xfId="0" applyNumberFormat="1" applyFill="1" applyBorder="1"/>
    <xf numFmtId="0" fontId="0" fillId="3" borderId="5" xfId="0" applyFill="1" applyBorder="1"/>
    <xf numFmtId="1" fontId="0" fillId="3" borderId="12" xfId="0" applyNumberFormat="1" applyFill="1" applyBorder="1"/>
    <xf numFmtId="1" fontId="0" fillId="3" borderId="5" xfId="0" applyNumberFormat="1" applyFill="1" applyBorder="1"/>
    <xf numFmtId="1" fontId="0" fillId="3" borderId="3" xfId="0" applyNumberFormat="1" applyFill="1" applyBorder="1"/>
    <xf numFmtId="0" fontId="26" fillId="0" borderId="0" xfId="0" applyFont="1"/>
    <xf numFmtId="0" fontId="10" fillId="0" borderId="14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Continuous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4" fontId="0" fillId="0" borderId="4" xfId="0" applyNumberFormat="1" applyBorder="1"/>
    <xf numFmtId="164" fontId="0" fillId="0" borderId="5" xfId="0" applyNumberFormat="1" applyBorder="1"/>
    <xf numFmtId="1" fontId="12" fillId="0" borderId="0" xfId="0" applyNumberFormat="1" applyFont="1"/>
    <xf numFmtId="2" fontId="10" fillId="0" borderId="11" xfId="1" applyNumberFormat="1" applyFont="1" applyBorder="1" applyAlignment="1">
      <alignment horizontal="center"/>
    </xf>
    <xf numFmtId="2" fontId="10" fillId="0" borderId="6" xfId="1" applyNumberFormat="1" applyFont="1" applyBorder="1" applyAlignment="1">
      <alignment horizontal="center"/>
    </xf>
    <xf numFmtId="168" fontId="0" fillId="3" borderId="13" xfId="0" applyNumberFormat="1" applyFill="1" applyBorder="1" applyAlignment="1">
      <alignment horizontal="right"/>
    </xf>
    <xf numFmtId="168" fontId="0" fillId="3" borderId="2" xfId="0" applyNumberFormat="1" applyFill="1" applyBorder="1" applyAlignment="1">
      <alignment horizontal="right"/>
    </xf>
    <xf numFmtId="168" fontId="0" fillId="3" borderId="14" xfId="0" applyNumberFormat="1" applyFill="1" applyBorder="1" applyAlignment="1">
      <alignment horizontal="right"/>
    </xf>
    <xf numFmtId="168" fontId="0" fillId="3" borderId="1" xfId="0" applyNumberFormat="1" applyFill="1" applyBorder="1" applyAlignment="1">
      <alignment horizontal="right"/>
    </xf>
    <xf numFmtId="168" fontId="0" fillId="3" borderId="10" xfId="0" applyNumberFormat="1" applyFill="1" applyBorder="1" applyAlignment="1">
      <alignment horizontal="right"/>
    </xf>
    <xf numFmtId="168" fontId="0" fillId="3" borderId="3" xfId="0" applyNumberFormat="1" applyFill="1" applyBorder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3"/>
    <xf numFmtId="0" fontId="21" fillId="0" borderId="0" xfId="3" applyFont="1"/>
    <xf numFmtId="2" fontId="21" fillId="0" borderId="0" xfId="3" applyNumberFormat="1" applyFont="1"/>
    <xf numFmtId="15" fontId="21" fillId="0" borderId="0" xfId="3" applyNumberFormat="1" applyFont="1"/>
    <xf numFmtId="15" fontId="0" fillId="0" borderId="0" xfId="0" applyNumberFormat="1"/>
    <xf numFmtId="0" fontId="10" fillId="0" borderId="12" xfId="0" applyFont="1" applyBorder="1" applyAlignment="1">
      <alignment horizontal="left"/>
    </xf>
    <xf numFmtId="0" fontId="10" fillId="0" borderId="11" xfId="0" applyFont="1" applyBorder="1"/>
    <xf numFmtId="0" fontId="10" fillId="0" borderId="15" xfId="0" quotePrefix="1" applyFont="1" applyBorder="1" applyAlignment="1">
      <alignment horizontal="left"/>
    </xf>
    <xf numFmtId="0" fontId="0" fillId="0" borderId="15" xfId="0" applyBorder="1"/>
    <xf numFmtId="0" fontId="0" fillId="0" borderId="6" xfId="0" applyBorder="1"/>
    <xf numFmtId="0" fontId="10" fillId="0" borderId="9" xfId="0" quotePrefix="1" applyFont="1" applyBorder="1" applyAlignment="1">
      <alignment horizontal="left"/>
    </xf>
    <xf numFmtId="0" fontId="8" fillId="0" borderId="0" xfId="4"/>
    <xf numFmtId="0" fontId="8" fillId="0" borderId="0" xfId="4" applyAlignment="1">
      <alignment horizontal="center"/>
    </xf>
    <xf numFmtId="0" fontId="24" fillId="0" borderId="16" xfId="4" applyFont="1" applyBorder="1" applyAlignment="1">
      <alignment vertical="center"/>
    </xf>
    <xf numFmtId="0" fontId="24" fillId="6" borderId="17" xfId="4" applyFont="1" applyFill="1" applyBorder="1" applyAlignment="1">
      <alignment horizontal="center" vertical="center"/>
    </xf>
    <xf numFmtId="0" fontId="24" fillId="0" borderId="18" xfId="4" applyFont="1" applyBorder="1" applyAlignment="1">
      <alignment horizontal="center" vertical="center"/>
    </xf>
    <xf numFmtId="0" fontId="24" fillId="0" borderId="18" xfId="4" applyFont="1" applyBorder="1" applyAlignment="1">
      <alignment vertical="center"/>
    </xf>
    <xf numFmtId="0" fontId="28" fillId="0" borderId="16" xfId="4" applyFont="1" applyBorder="1" applyAlignment="1">
      <alignment horizontal="center" vertical="center"/>
    </xf>
    <xf numFmtId="0" fontId="24" fillId="0" borderId="18" xfId="4" applyFont="1" applyBorder="1" applyAlignment="1">
      <alignment horizontal="center" vertical="center" wrapText="1"/>
    </xf>
    <xf numFmtId="0" fontId="31" fillId="0" borderId="16" xfId="4" applyFont="1" applyBorder="1" applyAlignment="1">
      <alignment horizontal="center" vertical="center"/>
    </xf>
    <xf numFmtId="0" fontId="24" fillId="0" borderId="0" xfId="4" applyFont="1" applyAlignment="1">
      <alignment vertical="center"/>
    </xf>
    <xf numFmtId="0" fontId="24" fillId="0" borderId="19" xfId="4" applyFont="1" applyBorder="1" applyAlignment="1">
      <alignment vertical="center"/>
    </xf>
    <xf numFmtId="0" fontId="24" fillId="0" borderId="20" xfId="4" applyFont="1" applyBorder="1" applyAlignment="1">
      <alignment vertical="center"/>
    </xf>
    <xf numFmtId="0" fontId="27" fillId="0" borderId="19" xfId="4" applyFont="1" applyBorder="1" applyAlignment="1">
      <alignment horizontal="center" vertical="center"/>
    </xf>
    <xf numFmtId="0" fontId="34" fillId="0" borderId="20" xfId="4" applyFont="1" applyBorder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8" fillId="0" borderId="19" xfId="4" applyBorder="1" applyAlignment="1">
      <alignment horizontal="center" vertical="center"/>
    </xf>
    <xf numFmtId="0" fontId="8" fillId="0" borderId="20" xfId="4" applyBorder="1" applyAlignment="1">
      <alignment horizontal="center" vertical="center"/>
    </xf>
    <xf numFmtId="0" fontId="8" fillId="0" borderId="0" xfId="4" applyAlignment="1">
      <alignment vertical="center"/>
    </xf>
    <xf numFmtId="0" fontId="24" fillId="0" borderId="24" xfId="4" applyFont="1" applyBorder="1" applyAlignment="1">
      <alignment vertical="center"/>
    </xf>
    <xf numFmtId="0" fontId="24" fillId="6" borderId="25" xfId="4" applyFont="1" applyFill="1" applyBorder="1" applyAlignment="1">
      <alignment vertical="center"/>
    </xf>
    <xf numFmtId="0" fontId="24" fillId="0" borderId="25" xfId="4" applyFont="1" applyBorder="1" applyAlignment="1">
      <alignment horizontal="center" vertical="center"/>
    </xf>
    <xf numFmtId="0" fontId="24" fillId="0" borderId="25" xfId="4" applyFont="1" applyBorder="1" applyAlignment="1">
      <alignment vertical="center"/>
    </xf>
    <xf numFmtId="0" fontId="24" fillId="0" borderId="25" xfId="4" applyFont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25" fillId="0" borderId="0" xfId="4" applyFont="1"/>
    <xf numFmtId="0" fontId="24" fillId="0" borderId="0" xfId="4" applyFont="1" applyAlignment="1">
      <alignment horizontal="center" vertical="center"/>
    </xf>
    <xf numFmtId="0" fontId="24" fillId="0" borderId="0" xfId="4" applyFont="1" applyAlignment="1">
      <alignment horizontal="center" vertical="center" wrapText="1"/>
    </xf>
    <xf numFmtId="0" fontId="31" fillId="0" borderId="0" xfId="4" applyFont="1" applyAlignment="1">
      <alignment horizontal="center" vertical="center"/>
    </xf>
    <xf numFmtId="0" fontId="27" fillId="0" borderId="0" xfId="4" applyFont="1" applyAlignment="1">
      <alignment horizontal="center" vertical="center"/>
    </xf>
    <xf numFmtId="0" fontId="27" fillId="0" borderId="0" xfId="4" applyFont="1" applyAlignment="1">
      <alignment horizontal="center" vertical="center" wrapText="1"/>
    </xf>
    <xf numFmtId="0" fontId="33" fillId="0" borderId="0" xfId="4" applyFont="1" applyAlignment="1">
      <alignment horizontal="center" vertical="center" wrapText="1"/>
    </xf>
    <xf numFmtId="0" fontId="34" fillId="0" borderId="0" xfId="4" applyFont="1" applyAlignment="1">
      <alignment horizontal="center" vertical="center"/>
    </xf>
    <xf numFmtId="0" fontId="8" fillId="6" borderId="0" xfId="4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8" fillId="0" borderId="20" xfId="4" applyBorder="1" applyAlignment="1">
      <alignment horizontal="center"/>
    </xf>
    <xf numFmtId="0" fontId="8" fillId="0" borderId="19" xfId="4" applyBorder="1"/>
    <xf numFmtId="0" fontId="8" fillId="0" borderId="20" xfId="4" applyBorder="1"/>
    <xf numFmtId="0" fontId="8" fillId="0" borderId="21" xfId="4" applyBorder="1"/>
    <xf numFmtId="0" fontId="8" fillId="0" borderId="23" xfId="4" applyBorder="1" applyAlignment="1">
      <alignment horizontal="center"/>
    </xf>
    <xf numFmtId="0" fontId="8" fillId="0" borderId="20" xfId="4" applyBorder="1" applyAlignment="1">
      <alignment horizontal="right"/>
    </xf>
    <xf numFmtId="0" fontId="8" fillId="0" borderId="23" xfId="4" applyBorder="1" applyAlignment="1">
      <alignment horizontal="right"/>
    </xf>
    <xf numFmtId="0" fontId="24" fillId="0" borderId="0" xfId="4" applyFont="1"/>
    <xf numFmtId="0" fontId="13" fillId="0" borderId="0" xfId="2" applyAlignment="1" applyProtection="1"/>
    <xf numFmtId="43" fontId="0" fillId="0" borderId="0" xfId="0" applyNumberFormat="1"/>
    <xf numFmtId="0" fontId="7" fillId="0" borderId="0" xfId="4" applyFont="1" applyAlignment="1">
      <alignment horizontal="center" vertical="center"/>
    </xf>
    <xf numFmtId="0" fontId="12" fillId="0" borderId="8" xfId="0" applyFont="1" applyBorder="1" applyAlignment="1">
      <alignment horizontal="center"/>
    </xf>
    <xf numFmtId="0" fontId="6" fillId="0" borderId="0" xfId="4" applyFont="1" applyAlignment="1">
      <alignment horizontal="center" vertical="center"/>
    </xf>
    <xf numFmtId="0" fontId="24" fillId="0" borderId="17" xfId="4" applyFont="1" applyBorder="1" applyAlignment="1">
      <alignment horizontal="center"/>
    </xf>
    <xf numFmtId="43" fontId="8" fillId="6" borderId="0" xfId="1" applyFont="1" applyFill="1" applyBorder="1" applyAlignment="1">
      <alignment horizontal="right"/>
    </xf>
    <xf numFmtId="0" fontId="24" fillId="0" borderId="16" xfId="4" applyFont="1" applyBorder="1"/>
    <xf numFmtId="0" fontId="24" fillId="0" borderId="18" xfId="4" applyFont="1" applyBorder="1" applyAlignment="1">
      <alignment horizontal="center"/>
    </xf>
    <xf numFmtId="0" fontId="24" fillId="0" borderId="19" xfId="4" applyFont="1" applyBorder="1"/>
    <xf numFmtId="43" fontId="7" fillId="6" borderId="0" xfId="1" applyFont="1" applyFill="1" applyBorder="1" applyAlignment="1">
      <alignment horizontal="right"/>
    </xf>
    <xf numFmtId="43" fontId="8" fillId="6" borderId="0" xfId="1" applyFont="1" applyFill="1" applyBorder="1"/>
    <xf numFmtId="43" fontId="8" fillId="0" borderId="19" xfId="4" applyNumberFormat="1" applyBorder="1" applyAlignment="1">
      <alignment horizontal="center"/>
    </xf>
    <xf numFmtId="43" fontId="8" fillId="0" borderId="0" xfId="4" applyNumberFormat="1"/>
    <xf numFmtId="0" fontId="12" fillId="0" borderId="24" xfId="0" applyFont="1" applyBorder="1"/>
    <xf numFmtId="0" fontId="0" fillId="0" borderId="25" xfId="0" applyBorder="1"/>
    <xf numFmtId="0" fontId="0" fillId="0" borderId="26" xfId="0" applyBorder="1"/>
    <xf numFmtId="0" fontId="10" fillId="0" borderId="27" xfId="0" applyFont="1" applyBorder="1"/>
    <xf numFmtId="164" fontId="22" fillId="2" borderId="28" xfId="0" applyNumberFormat="1" applyFont="1" applyFill="1" applyBorder="1" applyProtection="1">
      <protection locked="0"/>
    </xf>
    <xf numFmtId="0" fontId="10" fillId="0" borderId="19" xfId="0" applyFont="1" applyBorder="1"/>
    <xf numFmtId="1" fontId="22" fillId="2" borderId="29" xfId="0" applyNumberFormat="1" applyFont="1" applyFill="1" applyBorder="1" applyProtection="1">
      <protection locked="0"/>
    </xf>
    <xf numFmtId="165" fontId="22" fillId="2" borderId="29" xfId="0" applyNumberFormat="1" applyFont="1" applyFill="1" applyBorder="1" applyAlignment="1" applyProtection="1">
      <alignment horizontal="right"/>
      <protection locked="0"/>
    </xf>
    <xf numFmtId="165" fontId="22" fillId="2" borderId="29" xfId="0" applyNumberFormat="1" applyFont="1" applyFill="1" applyBorder="1" applyProtection="1">
      <protection locked="0"/>
    </xf>
    <xf numFmtId="0" fontId="10" fillId="0" borderId="21" xfId="0" applyFont="1" applyBorder="1"/>
    <xf numFmtId="0" fontId="0" fillId="0" borderId="22" xfId="0" applyBorder="1"/>
    <xf numFmtId="165" fontId="22" fillId="2" borderId="30" xfId="0" applyNumberFormat="1" applyFont="1" applyFill="1" applyBorder="1" applyProtection="1">
      <protection locked="0"/>
    </xf>
    <xf numFmtId="0" fontId="24" fillId="0" borderId="16" xfId="4" applyFont="1" applyBorder="1" applyAlignment="1">
      <alignment horizontal="center"/>
    </xf>
    <xf numFmtId="0" fontId="6" fillId="0" borderId="16" xfId="4" applyFont="1" applyBorder="1"/>
    <xf numFmtId="11" fontId="8" fillId="0" borderId="18" xfId="4" applyNumberFormat="1" applyBorder="1"/>
    <xf numFmtId="0" fontId="8" fillId="0" borderId="17" xfId="4" applyBorder="1"/>
    <xf numFmtId="0" fontId="24" fillId="0" borderId="24" xfId="4" applyFont="1" applyBorder="1"/>
    <xf numFmtId="0" fontId="24" fillId="0" borderId="26" xfId="4" applyFon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/>
    <xf numFmtId="0" fontId="24" fillId="0" borderId="23" xfId="4" applyFont="1" applyBorder="1" applyAlignment="1">
      <alignment horizontal="center"/>
    </xf>
    <xf numFmtId="0" fontId="8" fillId="0" borderId="24" xfId="4" applyBorder="1"/>
    <xf numFmtId="0" fontId="7" fillId="0" borderId="0" xfId="4" applyFont="1"/>
    <xf numFmtId="0" fontId="8" fillId="0" borderId="23" xfId="4" applyBorder="1"/>
    <xf numFmtId="0" fontId="24" fillId="0" borderId="31" xfId="4" applyFont="1" applyBorder="1" applyAlignment="1">
      <alignment horizontal="center"/>
    </xf>
    <xf numFmtId="0" fontId="24" fillId="0" borderId="32" xfId="4" applyFont="1" applyBorder="1" applyAlignment="1">
      <alignment horizontal="center"/>
    </xf>
    <xf numFmtId="0" fontId="24" fillId="0" borderId="33" xfId="4" applyFont="1" applyBorder="1" applyAlignment="1">
      <alignment horizontal="center"/>
    </xf>
    <xf numFmtId="0" fontId="8" fillId="0" borderId="22" xfId="4" applyBorder="1" applyAlignment="1">
      <alignment horizontal="center"/>
    </xf>
    <xf numFmtId="0" fontId="12" fillId="0" borderId="34" xfId="0" quotePrefix="1" applyFont="1" applyBorder="1" applyAlignment="1">
      <alignment horizontal="center"/>
    </xf>
    <xf numFmtId="0" fontId="12" fillId="0" borderId="35" xfId="0" quotePrefix="1" applyFont="1" applyBorder="1" applyAlignment="1">
      <alignment horizontal="center"/>
    </xf>
    <xf numFmtId="0" fontId="12" fillId="0" borderId="36" xfId="0" quotePrefix="1" applyFont="1" applyBorder="1" applyAlignment="1">
      <alignment horizontal="center" wrapText="1"/>
    </xf>
    <xf numFmtId="0" fontId="12" fillId="0" borderId="16" xfId="0" applyFont="1" applyBorder="1"/>
    <xf numFmtId="0" fontId="12" fillId="0" borderId="17" xfId="0" applyFont="1" applyBorder="1"/>
    <xf numFmtId="0" fontId="24" fillId="0" borderId="26" xfId="4" applyFont="1" applyBorder="1"/>
    <xf numFmtId="0" fontId="7" fillId="0" borderId="0" xfId="4" applyFont="1" applyAlignment="1">
      <alignment horizontal="left"/>
    </xf>
    <xf numFmtId="0" fontId="8" fillId="0" borderId="16" xfId="4" applyBorder="1"/>
    <xf numFmtId="0" fontId="8" fillId="0" borderId="18" xfId="4" applyBorder="1"/>
    <xf numFmtId="0" fontId="24" fillId="0" borderId="25" xfId="4" applyFont="1" applyBorder="1" applyAlignment="1">
      <alignment horizontal="left"/>
    </xf>
    <xf numFmtId="0" fontId="24" fillId="0" borderId="26" xfId="4" applyFont="1" applyBorder="1" applyAlignment="1">
      <alignment horizontal="right"/>
    </xf>
    <xf numFmtId="0" fontId="4" fillId="0" borderId="19" xfId="4" applyFont="1" applyBorder="1"/>
    <xf numFmtId="43" fontId="4" fillId="6" borderId="0" xfId="1" applyFont="1" applyFill="1" applyBorder="1" applyAlignment="1">
      <alignment horizontal="right"/>
    </xf>
    <xf numFmtId="0" fontId="4" fillId="0" borderId="20" xfId="4" applyFont="1" applyBorder="1"/>
    <xf numFmtId="0" fontId="4" fillId="0" borderId="20" xfId="4" applyFont="1" applyBorder="1" applyAlignment="1">
      <alignment horizontal="left"/>
    </xf>
    <xf numFmtId="43" fontId="4" fillId="0" borderId="0" xfId="1" applyFont="1" applyBorder="1" applyAlignment="1">
      <alignment horizontal="right"/>
    </xf>
    <xf numFmtId="0" fontId="4" fillId="0" borderId="21" xfId="4" applyFont="1" applyBorder="1"/>
    <xf numFmtId="43" fontId="4" fillId="0" borderId="22" xfId="1" applyFont="1" applyBorder="1" applyAlignment="1">
      <alignment horizontal="right"/>
    </xf>
    <xf numFmtId="0" fontId="4" fillId="0" borderId="23" xfId="4" applyFont="1" applyBorder="1"/>
    <xf numFmtId="171" fontId="8" fillId="0" borderId="0" xfId="4" applyNumberFormat="1" applyAlignment="1">
      <alignment horizontal="center"/>
    </xf>
    <xf numFmtId="0" fontId="3" fillId="0" borderId="0" xfId="4" applyFont="1" applyAlignment="1">
      <alignment horizontal="left"/>
    </xf>
    <xf numFmtId="0" fontId="3" fillId="0" borderId="22" xfId="4" applyFont="1" applyBorder="1" applyAlignment="1">
      <alignment horizontal="left"/>
    </xf>
    <xf numFmtId="0" fontId="2" fillId="0" borderId="19" xfId="4" applyFont="1" applyBorder="1"/>
    <xf numFmtId="0" fontId="1" fillId="0" borderId="0" xfId="4" applyFont="1"/>
    <xf numFmtId="0" fontId="39" fillId="7" borderId="37" xfId="0" applyFont="1" applyFill="1" applyBorder="1"/>
    <xf numFmtId="0" fontId="39" fillId="7" borderId="38" xfId="0" applyFont="1" applyFill="1" applyBorder="1"/>
    <xf numFmtId="0" fontId="39" fillId="7" borderId="39" xfId="0" applyFont="1" applyFill="1" applyBorder="1"/>
    <xf numFmtId="0" fontId="39" fillId="8" borderId="37" xfId="0" applyFont="1" applyFill="1" applyBorder="1"/>
    <xf numFmtId="0" fontId="39" fillId="8" borderId="38" xfId="0" applyFont="1" applyFill="1" applyBorder="1"/>
    <xf numFmtId="0" fontId="39" fillId="8" borderId="39" xfId="0" applyFont="1" applyFill="1" applyBorder="1"/>
    <xf numFmtId="0" fontId="39" fillId="7" borderId="42" xfId="0" applyFont="1" applyFill="1" applyBorder="1"/>
    <xf numFmtId="0" fontId="39" fillId="7" borderId="40" xfId="0" applyFont="1" applyFill="1" applyBorder="1"/>
    <xf numFmtId="0" fontId="39" fillId="7" borderId="41" xfId="0" applyFont="1" applyFill="1" applyBorder="1"/>
    <xf numFmtId="0" fontId="24" fillId="0" borderId="16" xfId="4" applyFont="1" applyBorder="1" applyAlignment="1">
      <alignment horizontal="center"/>
    </xf>
    <xf numFmtId="0" fontId="24" fillId="0" borderId="17" xfId="4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8" xfId="0" applyFont="1" applyBorder="1" applyAlignment="1">
      <alignment horizontal="center"/>
    </xf>
  </cellXfs>
  <cellStyles count="6">
    <cellStyle name="Comma" xfId="1" builtinId="3"/>
    <cellStyle name="Hyperlink" xfId="2" builtinId="8"/>
    <cellStyle name="Normal" xfId="0" builtinId="0"/>
    <cellStyle name="Normal 2" xfId="3" xr:uid="{00000000-0005-0000-0000-000003000000}"/>
    <cellStyle name="Normal 3" xfId="4" xr:uid="{D47633EC-8BAE-4C8B-A0E5-59E56A551297}"/>
    <cellStyle name="Normal 4" xfId="5" xr:uid="{E2C0ED49-59F7-4BCB-961D-0B59097482C4}"/>
  </cellStyles>
  <dxfs count="80"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color theme="0"/>
      </font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color theme="0"/>
      </font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Soil</a:t>
            </a:r>
            <a:r>
              <a:rPr lang="en-US" baseline="0"/>
              <a:t> Resistance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326979619350864E-2"/>
          <c:y val="0.16776813954876238"/>
          <c:w val="0.84765625000000189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Examples!$O$83:$O$113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D9-46D3-B08A-EC698A9C94D9}"/>
            </c:ext>
          </c:extLst>
        </c:ser>
        <c:ser>
          <c:idx val="0"/>
          <c:order val="1"/>
          <c:tx>
            <c:v>COM624</c:v>
          </c:tx>
          <c:xVal>
            <c:numRef>
              <c:f>Examples!$T$83:$T$111</c:f>
              <c:numCache>
                <c:formatCode>0.00E+00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602</c:v>
                </c:pt>
                <c:pt idx="3">
                  <c:v>643</c:v>
                </c:pt>
                <c:pt idx="4">
                  <c:v>663</c:v>
                </c:pt>
                <c:pt idx="5">
                  <c:v>680</c:v>
                </c:pt>
                <c:pt idx="6">
                  <c:v>695</c:v>
                </c:pt>
                <c:pt idx="7">
                  <c:v>706</c:v>
                </c:pt>
                <c:pt idx="8">
                  <c:v>507</c:v>
                </c:pt>
                <c:pt idx="9">
                  <c:v>486</c:v>
                </c:pt>
                <c:pt idx="10">
                  <c:v>456</c:v>
                </c:pt>
                <c:pt idx="11">
                  <c:v>418</c:v>
                </c:pt>
                <c:pt idx="12">
                  <c:v>375</c:v>
                </c:pt>
                <c:pt idx="13">
                  <c:v>328</c:v>
                </c:pt>
                <c:pt idx="14">
                  <c:v>281</c:v>
                </c:pt>
                <c:pt idx="15">
                  <c:v>233</c:v>
                </c:pt>
                <c:pt idx="16">
                  <c:v>187</c:v>
                </c:pt>
                <c:pt idx="17">
                  <c:v>145</c:v>
                </c:pt>
                <c:pt idx="18">
                  <c:v>106</c:v>
                </c:pt>
                <c:pt idx="19">
                  <c:v>75.2</c:v>
                </c:pt>
                <c:pt idx="20">
                  <c:v>113</c:v>
                </c:pt>
                <c:pt idx="21">
                  <c:v>87.2</c:v>
                </c:pt>
                <c:pt idx="22">
                  <c:v>47.5</c:v>
                </c:pt>
                <c:pt idx="23">
                  <c:v>-62.9</c:v>
                </c:pt>
                <c:pt idx="24">
                  <c:v>-76.2</c:v>
                </c:pt>
                <c:pt idx="25">
                  <c:v>-79.900000000000006</c:v>
                </c:pt>
                <c:pt idx="26">
                  <c:v>-482</c:v>
                </c:pt>
                <c:pt idx="27">
                  <c:v>-476</c:v>
                </c:pt>
                <c:pt idx="28">
                  <c:v>-457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D9-46D3-B08A-EC698A9C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97792"/>
        <c:axId val="143699328"/>
      </c:scatterChart>
      <c:valAx>
        <c:axId val="1436977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.000" sourceLinked="0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9328"/>
        <c:crosses val="autoZero"/>
        <c:crossBetween val="midCat"/>
      </c:valAx>
      <c:valAx>
        <c:axId val="143699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Depth</a:t>
                </a:r>
              </a:p>
            </c:rich>
          </c:tx>
          <c:layout>
            <c:manualLayout>
              <c:xMode val="edge"/>
              <c:yMode val="edge"/>
              <c:x val="3.1250046500092998E-2"/>
              <c:y val="0.484163423887559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779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Deflection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0965487237592567E-2"/>
          <c:y val="0.16577780126477479"/>
          <c:w val="0.84765625000000189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Examples!$C$83:$C$113</c:f>
              <c:numCache>
                <c:formatCode>0.000000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A6-48F5-90BB-07A209CA58B3}"/>
            </c:ext>
          </c:extLst>
        </c:ser>
        <c:ser>
          <c:idx val="0"/>
          <c:order val="1"/>
          <c:tx>
            <c:v>COM624</c:v>
          </c:tx>
          <c:xVal>
            <c:numRef>
              <c:f>Examples!$Q$83:$Q$111</c:f>
              <c:numCache>
                <c:formatCode>General</c:formatCode>
                <c:ptCount val="29"/>
                <c:pt idx="0">
                  <c:v>0.251</c:v>
                </c:pt>
                <c:pt idx="1">
                  <c:v>0.23</c:v>
                </c:pt>
                <c:pt idx="2">
                  <c:v>0.20899999999999999</c:v>
                </c:pt>
                <c:pt idx="3">
                  <c:v>0.189</c:v>
                </c:pt>
                <c:pt idx="4">
                  <c:v>0.17</c:v>
                </c:pt>
                <c:pt idx="5">
                  <c:v>0.151</c:v>
                </c:pt>
                <c:pt idx="6">
                  <c:v>0.13300000000000001</c:v>
                </c:pt>
                <c:pt idx="7">
                  <c:v>0.11700000000000001</c:v>
                </c:pt>
                <c:pt idx="8">
                  <c:v>0.10100000000000001</c:v>
                </c:pt>
                <c:pt idx="9">
                  <c:v>8.6499999999999994E-2</c:v>
                </c:pt>
                <c:pt idx="10">
                  <c:v>7.3300000000000004E-2</c:v>
                </c:pt>
                <c:pt idx="11">
                  <c:v>6.13E-2</c:v>
                </c:pt>
                <c:pt idx="12">
                  <c:v>5.0500000000000003E-2</c:v>
                </c:pt>
                <c:pt idx="13">
                  <c:v>4.0899999999999999E-2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A6-48F5-90BB-07A209CA5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65984"/>
        <c:axId val="214155648"/>
      </c:scatterChart>
      <c:valAx>
        <c:axId val="1462659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.000" sourceLinked="0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155648"/>
        <c:crosses val="autoZero"/>
        <c:crossBetween val="midCat"/>
      </c:valAx>
      <c:valAx>
        <c:axId val="21415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Depth</a:t>
                </a:r>
              </a:p>
            </c:rich>
          </c:tx>
          <c:layout>
            <c:manualLayout>
              <c:xMode val="edge"/>
              <c:yMode val="edge"/>
              <c:x val="3.1250046500092998E-2"/>
              <c:y val="0.484163423887559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2659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Bending Moment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12"/>
          <c:y val="0.15384632380152827"/>
          <c:w val="0.84765625000000122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Examples!$D$83:$D$113</c:f>
              <c:numCache>
                <c:formatCode>0.0</c:formatCode>
                <c:ptCount val="31"/>
                <c:pt idx="0" formatCode="0.00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1-4203-A0EE-2C2BDA315A58}"/>
            </c:ext>
          </c:extLst>
        </c:ser>
        <c:ser>
          <c:idx val="0"/>
          <c:order val="1"/>
          <c:tx>
            <c:v>COM624</c:v>
          </c:tx>
          <c:xVal>
            <c:numRef>
              <c:f>Examples!$R$83:$R$111</c:f>
              <c:numCache>
                <c:formatCode>0.00E+00</c:formatCode>
                <c:ptCount val="29"/>
                <c:pt idx="0">
                  <c:v>100000</c:v>
                </c:pt>
                <c:pt idx="1">
                  <c:v>605000</c:v>
                </c:pt>
                <c:pt idx="2">
                  <c:v>1120000</c:v>
                </c:pt>
                <c:pt idx="3">
                  <c:v>1600000</c:v>
                </c:pt>
                <c:pt idx="4">
                  <c:v>2020000</c:v>
                </c:pt>
                <c:pt idx="5">
                  <c:v>2370000</c:v>
                </c:pt>
                <c:pt idx="6">
                  <c:v>2660000</c:v>
                </c:pt>
                <c:pt idx="7">
                  <c:v>2870000</c:v>
                </c:pt>
                <c:pt idx="8">
                  <c:v>3020000</c:v>
                </c:pt>
                <c:pt idx="9">
                  <c:v>3100000</c:v>
                </c:pt>
                <c:pt idx="10">
                  <c:v>3140000</c:v>
                </c:pt>
                <c:pt idx="11">
                  <c:v>3140000</c:v>
                </c:pt>
                <c:pt idx="12">
                  <c:v>3090000</c:v>
                </c:pt>
                <c:pt idx="13">
                  <c:v>3000000</c:v>
                </c:pt>
                <c:pt idx="14">
                  <c:v>2890000</c:v>
                </c:pt>
                <c:pt idx="15">
                  <c:v>2740000</c:v>
                </c:pt>
                <c:pt idx="16">
                  <c:v>2570000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1-4203-A0EE-2C2BDA315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7184"/>
        <c:axId val="88718720"/>
      </c:scatterChart>
      <c:valAx>
        <c:axId val="88717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18720"/>
        <c:crosses val="autoZero"/>
        <c:crossBetween val="midCat"/>
      </c:valAx>
      <c:valAx>
        <c:axId val="8871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171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Shear Force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12"/>
          <c:y val="0.15384632380152838"/>
          <c:w val="0.84765625000000144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Examples!$E$83:$E$113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C-42AC-8224-9538673AA13A}"/>
            </c:ext>
          </c:extLst>
        </c:ser>
        <c:ser>
          <c:idx val="0"/>
          <c:order val="1"/>
          <c:tx>
            <c:v>COM624</c:v>
          </c:tx>
          <c:xVal>
            <c:numRef>
              <c:f>Examples!$S$83:$S$111</c:f>
              <c:numCache>
                <c:formatCode>General</c:formatCode>
                <c:ptCount val="29"/>
                <c:pt idx="0">
                  <c:v>50200</c:v>
                </c:pt>
                <c:pt idx="1">
                  <c:v>50700</c:v>
                </c:pt>
                <c:pt idx="2">
                  <c:v>50700</c:v>
                </c:pt>
                <c:pt idx="3">
                  <c:v>44900</c:v>
                </c:pt>
                <c:pt idx="4">
                  <c:v>38400</c:v>
                </c:pt>
                <c:pt idx="5">
                  <c:v>31600</c:v>
                </c:pt>
                <c:pt idx="6">
                  <c:v>24800</c:v>
                </c:pt>
                <c:pt idx="7">
                  <c:v>17800</c:v>
                </c:pt>
                <c:pt idx="8">
                  <c:v>11200</c:v>
                </c:pt>
                <c:pt idx="9">
                  <c:v>6210</c:v>
                </c:pt>
                <c:pt idx="10">
                  <c:v>1490</c:v>
                </c:pt>
                <c:pt idx="11">
                  <c:v>-2880</c:v>
                </c:pt>
                <c:pt idx="12">
                  <c:v>-6840</c:v>
                </c:pt>
                <c:pt idx="13">
                  <c:v>-10400</c:v>
                </c:pt>
                <c:pt idx="14">
                  <c:v>-13400</c:v>
                </c:pt>
                <c:pt idx="15">
                  <c:v>-16000</c:v>
                </c:pt>
                <c:pt idx="16">
                  <c:v>-18100</c:v>
                </c:pt>
                <c:pt idx="17">
                  <c:v>-19700</c:v>
                </c:pt>
                <c:pt idx="18">
                  <c:v>-21000</c:v>
                </c:pt>
                <c:pt idx="19">
                  <c:v>-21900</c:v>
                </c:pt>
                <c:pt idx="20">
                  <c:v>-22600</c:v>
                </c:pt>
                <c:pt idx="21">
                  <c:v>-23600</c:v>
                </c:pt>
                <c:pt idx="22">
                  <c:v>-24300</c:v>
                </c:pt>
                <c:pt idx="23">
                  <c:v>-24100</c:v>
                </c:pt>
                <c:pt idx="24">
                  <c:v>-23400</c:v>
                </c:pt>
                <c:pt idx="25">
                  <c:v>-22600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7C-42AC-8224-9538673AA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9488"/>
        <c:axId val="124721024"/>
      </c:scatterChart>
      <c:valAx>
        <c:axId val="1247194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721024"/>
        <c:crosses val="autoZero"/>
        <c:crossBetween val="midCat"/>
      </c:valAx>
      <c:valAx>
        <c:axId val="124721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7194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583333333333334E-2"/>
          <c:y val="4.8442906574394463E-2"/>
          <c:w val="0.67708333333333337"/>
          <c:h val="0.79584775086505188"/>
        </c:manualLayout>
      </c:layout>
      <c:scatterChart>
        <c:scatterStyle val="lineMarker"/>
        <c:varyColors val="0"/>
        <c:ser>
          <c:idx val="0"/>
          <c:order val="0"/>
          <c:xVal>
            <c:numRef>
              <c:f>SoilProps!$AF$75:$AF$92</c:f>
              <c:numCache>
                <c:formatCode>General</c:formatCode>
                <c:ptCount val="18"/>
              </c:numCache>
            </c:numRef>
          </c:xVal>
          <c:yVal>
            <c:numRef>
              <c:f>SoilProps!$AL$76:$AL$94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8-4815-9F6C-018D2EF5AF5D}"/>
            </c:ext>
          </c:extLst>
        </c:ser>
        <c:ser>
          <c:idx val="1"/>
          <c:order val="1"/>
          <c:xVal>
            <c:numRef>
              <c:f>SoilProps!$AN$76:$AN$94</c:f>
              <c:numCache>
                <c:formatCode>General</c:formatCode>
                <c:ptCount val="19"/>
              </c:numCache>
            </c:numRef>
          </c:xVal>
          <c:yVal>
            <c:numRef>
              <c:f>SoilProps!$AM$76:$AM$94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68-4815-9F6C-018D2EF5A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47136"/>
        <c:axId val="124753024"/>
      </c:scatterChart>
      <c:valAx>
        <c:axId val="12474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753024"/>
        <c:crosses val="autoZero"/>
        <c:crossBetween val="midCat"/>
      </c:valAx>
      <c:valAx>
        <c:axId val="12475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74713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SoilProps!$C$63:$C$79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SoilProps!$D$63:$D$79</c:f>
              <c:numCache>
                <c:formatCode>0.0</c:formatCode>
                <c:ptCount val="17"/>
                <c:pt idx="0">
                  <c:v>0</c:v>
                </c:pt>
                <c:pt idx="1">
                  <c:v>956.75300000000004</c:v>
                </c:pt>
                <c:pt idx="2">
                  <c:v>1137.777</c:v>
                </c:pt>
                <c:pt idx="3">
                  <c:v>1259.1579999999999</c:v>
                </c:pt>
                <c:pt idx="4">
                  <c:v>1353</c:v>
                </c:pt>
                <c:pt idx="5">
                  <c:v>1431</c:v>
                </c:pt>
                <c:pt idx="6">
                  <c:v>1497</c:v>
                </c:pt>
                <c:pt idx="7">
                  <c:v>1556</c:v>
                </c:pt>
                <c:pt idx="8">
                  <c:v>1609</c:v>
                </c:pt>
                <c:pt idx="9">
                  <c:v>1657</c:v>
                </c:pt>
                <c:pt idx="10">
                  <c:v>1701</c:v>
                </c:pt>
                <c:pt idx="11">
                  <c:v>1742</c:v>
                </c:pt>
                <c:pt idx="12">
                  <c:v>1781</c:v>
                </c:pt>
                <c:pt idx="13">
                  <c:v>1817</c:v>
                </c:pt>
                <c:pt idx="14">
                  <c:v>1851</c:v>
                </c:pt>
                <c:pt idx="15">
                  <c:v>1883</c:v>
                </c:pt>
                <c:pt idx="16">
                  <c:v>1883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C-44DE-B502-CD7155BCE231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SoilProps!$C$63:$C$79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SoilProps!$E$63:$E$79</c:f>
              <c:numCache>
                <c:formatCode>0.0</c:formatCode>
                <c:ptCount val="17"/>
                <c:pt idx="0">
                  <c:v>0</c:v>
                </c:pt>
                <c:pt idx="1">
                  <c:v>957.00028011612972</c:v>
                </c:pt>
                <c:pt idx="2">
                  <c:v>1138.0715421736986</c:v>
                </c:pt>
                <c:pt idx="3">
                  <c:v>1259.4831990490943</c:v>
                </c:pt>
                <c:pt idx="4">
                  <c:v>1353.4027753350817</c:v>
                </c:pt>
                <c:pt idx="5">
                  <c:v>1431.0492025000212</c:v>
                </c:pt>
                <c:pt idx="6">
                  <c:v>1497.7863815355711</c:v>
                </c:pt>
                <c:pt idx="7">
                  <c:v>1556.6342251751121</c:v>
                </c:pt>
                <c:pt idx="8">
                  <c:v>1609.4762098929084</c:v>
                </c:pt>
                <c:pt idx="9">
                  <c:v>1657.5731080187843</c:v>
                </c:pt>
                <c:pt idx="10">
                  <c:v>1701.8138935319951</c:v>
                </c:pt>
                <c:pt idx="11">
                  <c:v>1742.8509046402146</c:v>
                </c:pt>
                <c:pt idx="12">
                  <c:v>1781.1782216762813</c:v>
                </c:pt>
                <c:pt idx="13">
                  <c:v>1817.1798103575652</c:v>
                </c:pt>
                <c:pt idx="14">
                  <c:v>1851.1604960349912</c:v>
                </c:pt>
                <c:pt idx="15">
                  <c:v>1883.366666666667</c:v>
                </c:pt>
                <c:pt idx="16">
                  <c:v>1883.366666666667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8C-44DE-B502-CD7155BCE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66080"/>
        <c:axId val="124767616"/>
      </c:scatterChart>
      <c:valAx>
        <c:axId val="12476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767616"/>
        <c:crosses val="autoZero"/>
        <c:crossBetween val="midCat"/>
      </c:valAx>
      <c:valAx>
        <c:axId val="1247676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4766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SoilProps!$C$85:$C$99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1.35</c:v>
                </c:pt>
                <c:pt idx="14">
                  <c:v>1.5</c:v>
                </c:pt>
              </c:numCache>
            </c:numRef>
          </c:xVal>
          <c:yVal>
            <c:numRef>
              <c:f>SoilProps!$D$85:$D$99</c:f>
              <c:numCache>
                <c:formatCode>0.0</c:formatCode>
                <c:ptCount val="15"/>
                <c:pt idx="0">
                  <c:v>0</c:v>
                </c:pt>
                <c:pt idx="1">
                  <c:v>371</c:v>
                </c:pt>
                <c:pt idx="2">
                  <c:v>742</c:v>
                </c:pt>
                <c:pt idx="3">
                  <c:v>1094</c:v>
                </c:pt>
                <c:pt idx="4">
                  <c:v>1216</c:v>
                </c:pt>
                <c:pt idx="5">
                  <c:v>1321</c:v>
                </c:pt>
                <c:pt idx="6">
                  <c:v>1413</c:v>
                </c:pt>
                <c:pt idx="7">
                  <c:v>1496</c:v>
                </c:pt>
                <c:pt idx="8">
                  <c:v>1572</c:v>
                </c:pt>
                <c:pt idx="9">
                  <c:v>1642</c:v>
                </c:pt>
                <c:pt idx="10">
                  <c:v>1707</c:v>
                </c:pt>
                <c:pt idx="11">
                  <c:v>1768</c:v>
                </c:pt>
                <c:pt idx="12">
                  <c:v>1826</c:v>
                </c:pt>
                <c:pt idx="13">
                  <c:v>2669</c:v>
                </c:pt>
                <c:pt idx="14">
                  <c:v>2669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E1-4817-B8EE-09B3B8D93A0E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SoilProps!$C$85:$C$98</c:f>
              <c:numCache>
                <c:formatCode>General</c:formatCode>
                <c:ptCount val="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1.35</c:v>
                </c:pt>
              </c:numCache>
            </c:numRef>
          </c:xVal>
          <c:yVal>
            <c:numRef>
              <c:f>SoilProps!$E$85:$E$99</c:f>
              <c:numCache>
                <c:formatCode>0.0</c:formatCode>
                <c:ptCount val="15"/>
                <c:pt idx="0">
                  <c:v>0</c:v>
                </c:pt>
                <c:pt idx="1">
                  <c:v>360</c:v>
                </c:pt>
                <c:pt idx="2">
                  <c:v>720</c:v>
                </c:pt>
                <c:pt idx="3">
                  <c:v>1076.3416478126446</c:v>
                </c:pt>
                <c:pt idx="4">
                  <c:v>1199.3783506577163</c:v>
                </c:pt>
                <c:pt idx="5">
                  <c:v>1304.4184660373676</c:v>
                </c:pt>
                <c:pt idx="6">
                  <c:v>1397.0357706326993</c:v>
                </c:pt>
                <c:pt idx="7">
                  <c:v>1480.4546534937663</c:v>
                </c:pt>
                <c:pt idx="8">
                  <c:v>1556.7310451996375</c:v>
                </c:pt>
                <c:pt idx="9">
                  <c:v>1627.2671116308045</c:v>
                </c:pt>
                <c:pt idx="10">
                  <c:v>1693.0676803516599</c:v>
                </c:pt>
                <c:pt idx="11">
                  <c:v>1754.8807431919558</c:v>
                </c:pt>
                <c:pt idx="12">
                  <c:v>1813.2801498423744</c:v>
                </c:pt>
                <c:pt idx="13">
                  <c:v>2666.049657503936</c:v>
                </c:pt>
                <c:pt idx="14">
                  <c:v>2666.049657503936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E1-4817-B8EE-09B3B8D93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00736"/>
        <c:axId val="125302272"/>
      </c:scatterChart>
      <c:valAx>
        <c:axId val="12530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302272"/>
        <c:crosses val="autoZero"/>
        <c:crossBetween val="midCat"/>
      </c:valAx>
      <c:valAx>
        <c:axId val="12530227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5300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SoilProps!$C$107:$C$123</c:f>
              <c:numCache>
                <c:formatCode>General</c:formatCode>
                <c:ptCount val="17"/>
                <c:pt idx="0">
                  <c:v>0</c:v>
                </c:pt>
                <c:pt idx="1">
                  <c:v>0.14000000000000001</c:v>
                </c:pt>
                <c:pt idx="2">
                  <c:v>0.45</c:v>
                </c:pt>
                <c:pt idx="3">
                  <c:v>0.9</c:v>
                </c:pt>
                <c:pt idx="4">
                  <c:v>1.35</c:v>
                </c:pt>
                <c:pt idx="5">
                  <c:v>1.8</c:v>
                </c:pt>
                <c:pt idx="6">
                  <c:v>2.25</c:v>
                </c:pt>
                <c:pt idx="7">
                  <c:v>2.7</c:v>
                </c:pt>
                <c:pt idx="8">
                  <c:v>3.15</c:v>
                </c:pt>
                <c:pt idx="9">
                  <c:v>3.6</c:v>
                </c:pt>
                <c:pt idx="10">
                  <c:v>4.05</c:v>
                </c:pt>
                <c:pt idx="11">
                  <c:v>4.5</c:v>
                </c:pt>
                <c:pt idx="12">
                  <c:v>4.95</c:v>
                </c:pt>
                <c:pt idx="13">
                  <c:v>5.4</c:v>
                </c:pt>
                <c:pt idx="14">
                  <c:v>14.4</c:v>
                </c:pt>
              </c:numCache>
            </c:numRef>
          </c:xVal>
          <c:yVal>
            <c:numRef>
              <c:f>SoilProps!$D$107:$D$123</c:f>
              <c:numCache>
                <c:formatCode>0.0</c:formatCode>
                <c:ptCount val="17"/>
                <c:pt idx="0">
                  <c:v>0</c:v>
                </c:pt>
                <c:pt idx="1">
                  <c:v>180</c:v>
                </c:pt>
                <c:pt idx="2">
                  <c:v>567</c:v>
                </c:pt>
                <c:pt idx="3">
                  <c:v>715</c:v>
                </c:pt>
                <c:pt idx="4">
                  <c:v>818</c:v>
                </c:pt>
                <c:pt idx="5">
                  <c:v>901</c:v>
                </c:pt>
                <c:pt idx="6">
                  <c:v>970</c:v>
                </c:pt>
                <c:pt idx="7">
                  <c:v>1031</c:v>
                </c:pt>
                <c:pt idx="8">
                  <c:v>1085</c:v>
                </c:pt>
                <c:pt idx="9">
                  <c:v>1134</c:v>
                </c:pt>
                <c:pt idx="10">
                  <c:v>1180</c:v>
                </c:pt>
                <c:pt idx="11">
                  <c:v>1222</c:v>
                </c:pt>
                <c:pt idx="12">
                  <c:v>1261</c:v>
                </c:pt>
                <c:pt idx="13">
                  <c:v>1299</c:v>
                </c:pt>
                <c:pt idx="14">
                  <c:v>1801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1-49FC-9C57-82C6768D6FD8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SoilProps!$C$107:$C$121</c:f>
              <c:numCache>
                <c:formatCode>General</c:formatCode>
                <c:ptCount val="15"/>
                <c:pt idx="0">
                  <c:v>0</c:v>
                </c:pt>
                <c:pt idx="1">
                  <c:v>0.14000000000000001</c:v>
                </c:pt>
                <c:pt idx="2">
                  <c:v>0.45</c:v>
                </c:pt>
                <c:pt idx="3">
                  <c:v>0.9</c:v>
                </c:pt>
                <c:pt idx="4">
                  <c:v>1.35</c:v>
                </c:pt>
                <c:pt idx="5">
                  <c:v>1.8</c:v>
                </c:pt>
                <c:pt idx="6">
                  <c:v>2.25</c:v>
                </c:pt>
                <c:pt idx="7">
                  <c:v>2.7</c:v>
                </c:pt>
                <c:pt idx="8">
                  <c:v>3.15</c:v>
                </c:pt>
                <c:pt idx="9">
                  <c:v>3.6</c:v>
                </c:pt>
                <c:pt idx="10">
                  <c:v>4.05</c:v>
                </c:pt>
                <c:pt idx="11">
                  <c:v>4.5</c:v>
                </c:pt>
                <c:pt idx="12">
                  <c:v>4.95</c:v>
                </c:pt>
                <c:pt idx="13">
                  <c:v>5.4</c:v>
                </c:pt>
                <c:pt idx="14">
                  <c:v>14.4</c:v>
                </c:pt>
              </c:numCache>
            </c:numRef>
          </c:xVal>
          <c:yVal>
            <c:numRef>
              <c:f>SoilProps!$E$107:$E$121</c:f>
              <c:numCache>
                <c:formatCode>0.0</c:formatCode>
                <c:ptCount val="15"/>
                <c:pt idx="0">
                  <c:v>0</c:v>
                </c:pt>
                <c:pt idx="1">
                  <c:v>384.17374949624815</c:v>
                </c:pt>
                <c:pt idx="2">
                  <c:v>566.96447245269292</c:v>
                </c:pt>
                <c:pt idx="3">
                  <c:v>714.33047338568974</c:v>
                </c:pt>
                <c:pt idx="4">
                  <c:v>817.70426677446289</c:v>
                </c:pt>
                <c:pt idx="5">
                  <c:v>899.99999999999989</c:v>
                </c:pt>
                <c:pt idx="6">
                  <c:v>969.49561051434762</c:v>
                </c:pt>
                <c:pt idx="7">
                  <c:v>1030.2428182979986</c:v>
                </c:pt>
                <c:pt idx="8">
                  <c:v>1084.5640188788534</c:v>
                </c:pt>
                <c:pt idx="9">
                  <c:v>1133.9289449053858</c:v>
                </c:pt>
                <c:pt idx="10">
                  <c:v>1179.3336273940033</c:v>
                </c:pt>
                <c:pt idx="11">
                  <c:v>1221.4879274677078</c:v>
                </c:pt>
                <c:pt idx="12">
                  <c:v>1260.917698794924</c:v>
                </c:pt>
                <c:pt idx="13">
                  <c:v>1298.0246132766672</c:v>
                </c:pt>
                <c:pt idx="14">
                  <c:v>1799.9999999999998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C1-49FC-9C57-82C6768D6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34848"/>
        <c:axId val="129936384"/>
      </c:scatterChart>
      <c:valAx>
        <c:axId val="12993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936384"/>
        <c:crosses val="autoZero"/>
        <c:crossBetween val="midCat"/>
      </c:valAx>
      <c:valAx>
        <c:axId val="1299363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9934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SoilProps!$C$127:$C$143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SoilProps!$D$127:$D$143</c:f>
              <c:numCache>
                <c:formatCode>0.0</c:formatCode>
                <c:ptCount val="17"/>
                <c:pt idx="0">
                  <c:v>0</c:v>
                </c:pt>
                <c:pt idx="1">
                  <c:v>2790</c:v>
                </c:pt>
                <c:pt idx="2">
                  <c:v>3317</c:v>
                </c:pt>
                <c:pt idx="3">
                  <c:v>3671</c:v>
                </c:pt>
                <c:pt idx="4">
                  <c:v>3944</c:v>
                </c:pt>
                <c:pt idx="5">
                  <c:v>4171</c:v>
                </c:pt>
                <c:pt idx="6">
                  <c:v>4365</c:v>
                </c:pt>
                <c:pt idx="7">
                  <c:v>4537</c:v>
                </c:pt>
                <c:pt idx="8">
                  <c:v>4691</c:v>
                </c:pt>
                <c:pt idx="9">
                  <c:v>4831</c:v>
                </c:pt>
                <c:pt idx="10">
                  <c:v>4960</c:v>
                </c:pt>
                <c:pt idx="11">
                  <c:v>5080</c:v>
                </c:pt>
                <c:pt idx="12">
                  <c:v>5191</c:v>
                </c:pt>
                <c:pt idx="13">
                  <c:v>5296</c:v>
                </c:pt>
                <c:pt idx="14">
                  <c:v>5395</c:v>
                </c:pt>
                <c:pt idx="15">
                  <c:v>5489</c:v>
                </c:pt>
                <c:pt idx="16">
                  <c:v>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7-48C0-89D8-EA0E94D5B2E3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SoilProps!$C$127:$C$143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SoilProps!$E$127:$E$143</c:f>
              <c:numCache>
                <c:formatCode>0.0</c:formatCode>
                <c:ptCount val="17"/>
                <c:pt idx="0">
                  <c:v>0</c:v>
                </c:pt>
                <c:pt idx="1">
                  <c:v>2789.1491234998161</c:v>
                </c:pt>
                <c:pt idx="2">
                  <c:v>3316.8759824695844</c:v>
                </c:pt>
                <c:pt idx="3">
                  <c:v>3670.72667968733</c:v>
                </c:pt>
                <c:pt idx="4">
                  <c:v>3944.452517934471</c:v>
                </c:pt>
                <c:pt idx="5">
                  <c:v>4170.7507424696851</c:v>
                </c:pt>
                <c:pt idx="6">
                  <c:v>4365.2542847144869</c:v>
                </c:pt>
                <c:pt idx="7">
                  <c:v>4536.7645913647229</c:v>
                </c:pt>
                <c:pt idx="8">
                  <c:v>4690.7709991180709</c:v>
                </c:pt>
                <c:pt idx="9">
                  <c:v>4830.9479917878825</c:v>
                </c:pt>
                <c:pt idx="10">
                  <c:v>4959.8864578478315</c:v>
                </c:pt>
                <c:pt idx="11">
                  <c:v>5079.4876177865244</c:v>
                </c:pt>
                <c:pt idx="12">
                  <c:v>5191.1914541785818</c:v>
                </c:pt>
                <c:pt idx="13">
                  <c:v>5296.1170237957795</c:v>
                </c:pt>
                <c:pt idx="14">
                  <c:v>5395.152731143341</c:v>
                </c:pt>
                <c:pt idx="15">
                  <c:v>5489.0166666666664</c:v>
                </c:pt>
                <c:pt idx="16">
                  <c:v>5489.0166666666664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57-48C0-89D8-EA0E94D5B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34688"/>
        <c:axId val="130044672"/>
      </c:scatterChart>
      <c:valAx>
        <c:axId val="130034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044672"/>
        <c:crosses val="autoZero"/>
        <c:crossBetween val="midCat"/>
      </c:valAx>
      <c:valAx>
        <c:axId val="13004467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300346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333377</xdr:colOff>
      <xdr:row>2</xdr:row>
      <xdr:rowOff>142874</xdr:rowOff>
    </xdr:from>
    <xdr:to>
      <xdr:col>25</xdr:col>
      <xdr:colOff>314325</xdr:colOff>
      <xdr:row>34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408280-5375-4BB0-98CB-71ADB18F5E90}"/>
            </a:ext>
          </a:extLst>
        </xdr:cNvPr>
        <xdr:cNvSpPr txBox="1"/>
      </xdr:nvSpPr>
      <xdr:spPr>
        <a:xfrm>
          <a:off x="17468852" y="523874"/>
          <a:ext cx="8924923" cy="2905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/>
            <a:t>10/6/25</a:t>
          </a:r>
        </a:p>
        <a:p>
          <a:r>
            <a:rPr lang="en-US" sz="2400" b="0"/>
            <a:t>Using</a:t>
          </a:r>
          <a:r>
            <a:rPr lang="en-US" sz="2400" b="0" baseline="0"/>
            <a:t> sample data from the soil borings from the MO72 Fairport Project</a:t>
          </a:r>
        </a:p>
        <a:p>
          <a:endParaRPr lang="en-US" sz="2400" b="0" baseline="0"/>
        </a:p>
      </xdr:txBody>
    </xdr:sp>
    <xdr:clientData/>
  </xdr:twoCellAnchor>
  <xdr:twoCellAnchor>
    <xdr:from>
      <xdr:col>23</xdr:col>
      <xdr:colOff>323850</xdr:colOff>
      <xdr:row>45</xdr:row>
      <xdr:rowOff>28575</xdr:rowOff>
    </xdr:from>
    <xdr:to>
      <xdr:col>25</xdr:col>
      <xdr:colOff>457200</xdr:colOff>
      <xdr:row>65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99B1E4A-3976-5077-93C1-40D732589944}"/>
            </a:ext>
          </a:extLst>
        </xdr:cNvPr>
        <xdr:cNvSpPr txBox="1"/>
      </xdr:nvSpPr>
      <xdr:spPr>
        <a:xfrm>
          <a:off x="24879300" y="5495925"/>
          <a:ext cx="3400425" cy="3933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import matplotlib.pyplot as plt</a:t>
          </a:r>
        </a:p>
        <a:p>
          <a:endParaRPr lang="en-US" sz="1100"/>
        </a:p>
        <a:p>
          <a:r>
            <a:rPr lang="en-US" sz="1100"/>
            <a:t>plt.scatter(xl("deflection"),xl("pile_length"), color='green', marker='o', linestyle='dashed' )</a:t>
          </a:r>
        </a:p>
        <a:p>
          <a:r>
            <a:rPr lang="en-US" sz="1100"/>
            <a:t>plt.ylabel('pile depth (in)')</a:t>
          </a:r>
        </a:p>
        <a:p>
          <a:r>
            <a:rPr lang="en-US" sz="1100"/>
            <a:t>plt.xlabel('deflection (in)')</a:t>
          </a:r>
        </a:p>
        <a:p>
          <a:r>
            <a:rPr lang="en-US" sz="1100"/>
            <a:t>plt.title('Pile deflection with depth (in)')</a:t>
          </a:r>
        </a:p>
        <a:p>
          <a:r>
            <a:rPr lang="en-US" sz="1100"/>
            <a:t>plt.axvline(x=0.0)</a:t>
          </a:r>
        </a:p>
        <a:p>
          <a:endParaRPr lang="en-US" sz="1100"/>
        </a:p>
        <a:p>
          <a:r>
            <a:rPr lang="en-US" sz="1100"/>
            <a:t>import matplotlib.pyplot as plt </a:t>
          </a:r>
        </a:p>
        <a:p>
          <a:endParaRPr lang="en-US" sz="1100"/>
        </a:p>
        <a:p>
          <a:r>
            <a:rPr lang="en-US" sz="1100"/>
            <a:t>plt.scatter(xl("Q56:Q104"),xl("N56:N104"), color = 'blue', marker='*', linestyle ='dashed')</a:t>
          </a:r>
        </a:p>
        <a:p>
          <a:r>
            <a:rPr lang="en-US" sz="1100"/>
            <a:t>plt.ylabel('pile depth')</a:t>
          </a:r>
        </a:p>
        <a:p>
          <a:r>
            <a:rPr lang="en-US" sz="1100"/>
            <a:t>plt.xlabel('shear')</a:t>
          </a:r>
        </a:p>
        <a:p>
          <a:r>
            <a:rPr lang="en-US" sz="1100"/>
            <a:t>plt.title('Pile shear with depth (lbf)')</a:t>
          </a:r>
        </a:p>
        <a:p>
          <a:r>
            <a:rPr lang="en-US" sz="1100"/>
            <a:t>plt.axvline(x=0.0)</a:t>
          </a:r>
        </a:p>
      </xdr:txBody>
    </xdr:sp>
    <xdr:clientData/>
  </xdr:twoCellAnchor>
  <xdr:twoCellAnchor editAs="oneCell">
    <xdr:from>
      <xdr:col>19</xdr:col>
      <xdr:colOff>85725</xdr:colOff>
      <xdr:row>72</xdr:row>
      <xdr:rowOff>38100</xdr:rowOff>
    </xdr:from>
    <xdr:to>
      <xdr:col>31</xdr:col>
      <xdr:colOff>154168</xdr:colOff>
      <xdr:row>94</xdr:row>
      <xdr:rowOff>124422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B1D70B-CD81-0B27-19AF-F391D88F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4275" y="10715625"/>
          <a:ext cx="12670018" cy="427732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133350</xdr:rowOff>
    </xdr:from>
    <xdr:to>
      <xdr:col>9</xdr:col>
      <xdr:colOff>501862</xdr:colOff>
      <xdr:row>63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FA96FD-D768-B22D-1E81-D1B179E70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800725"/>
          <a:ext cx="7988512" cy="3219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114</xdr:row>
      <xdr:rowOff>91440</xdr:rowOff>
    </xdr:from>
    <xdr:to>
      <xdr:col>5</xdr:col>
      <xdr:colOff>156210</xdr:colOff>
      <xdr:row>140</xdr:row>
      <xdr:rowOff>5715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342900</xdr:colOff>
      <xdr:row>114</xdr:row>
      <xdr:rowOff>106680</xdr:rowOff>
    </xdr:from>
    <xdr:to>
      <xdr:col>11</xdr:col>
      <xdr:colOff>750570</xdr:colOff>
      <xdr:row>140</xdr:row>
      <xdr:rowOff>5715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342900</xdr:colOff>
      <xdr:row>140</xdr:row>
      <xdr:rowOff>144780</xdr:rowOff>
    </xdr:from>
    <xdr:to>
      <xdr:col>5</xdr:col>
      <xdr:colOff>169545</xdr:colOff>
      <xdr:row>167</xdr:row>
      <xdr:rowOff>24765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373380</xdr:colOff>
      <xdr:row>140</xdr:row>
      <xdr:rowOff>144780</xdr:rowOff>
    </xdr:from>
    <xdr:to>
      <xdr:col>11</xdr:col>
      <xdr:colOff>971550</xdr:colOff>
      <xdr:row>167</xdr:row>
      <xdr:rowOff>20955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84</xdr:row>
      <xdr:rowOff>0</xdr:rowOff>
    </xdr:from>
    <xdr:to>
      <xdr:col>50</xdr:col>
      <xdr:colOff>304800</xdr:colOff>
      <xdr:row>96</xdr:row>
      <xdr:rowOff>152400</xdr:rowOff>
    </xdr:to>
    <xdr:graphicFrame macro="">
      <xdr:nvGraphicFramePr>
        <xdr:cNvPr id="753021" name="Chart 2">
          <a:extLst>
            <a:ext uri="{FF2B5EF4-FFF2-40B4-BE49-F238E27FC236}">
              <a16:creationId xmlns:a16="http://schemas.microsoft.com/office/drawing/2014/main" id="{00000000-0008-0000-0300-00007D7D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59</xdr:row>
      <xdr:rowOff>128587</xdr:rowOff>
    </xdr:from>
    <xdr:to>
      <xdr:col>13</xdr:col>
      <xdr:colOff>53340</xdr:colOff>
      <xdr:row>77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510540</xdr:colOff>
      <xdr:row>84</xdr:row>
      <xdr:rowOff>15240</xdr:rowOff>
    </xdr:from>
    <xdr:to>
      <xdr:col>13</xdr:col>
      <xdr:colOff>114300</xdr:colOff>
      <xdr:row>101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525780</xdr:colOff>
      <xdr:row>103</xdr:row>
      <xdr:rowOff>22860</xdr:rowOff>
    </xdr:from>
    <xdr:to>
      <xdr:col>13</xdr:col>
      <xdr:colOff>129540</xdr:colOff>
      <xdr:row>120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487680</xdr:colOff>
      <xdr:row>125</xdr:row>
      <xdr:rowOff>60960</xdr:rowOff>
    </xdr:from>
    <xdr:to>
      <xdr:col>13</xdr:col>
      <xdr:colOff>91440</xdr:colOff>
      <xdr:row>142</xdr:row>
      <xdr:rowOff>45720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CLEAN VIEW" id="{70A1086A-822F-45B0-AF5F-493BB98D4295}">
    <nsvFilter filterId="{00DD9469-52BF-4BB2-A868-26A9B3C4512E}" ref="H7:S12" tableId="1"/>
    <nsvFilter filterId="{0303130F-0F81-4275-8668-3440E3E6D488}" ref="H18:S24" tableId="2"/>
    <nsvFilter filterId="{26726F7C-BB56-44E6-A06F-0015FB0985B3}" ref="H29:S34" tableId="3"/>
    <nsvFilter filterId="{23DDEACC-A18C-44CF-A237-F0ABB7D67347}" ref="C39:G46" tableId="4"/>
  </namedSheetView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83CD7AC-791F-4203-ABFF-02F2B6449B92}" autoFormatId="16" applyNumberFormats="0" applyBorderFormats="0" applyFontFormats="0" applyPatternFormats="0" applyAlignmentFormats="0" applyWidthHeightFormats="0">
  <queryTableRefresh nextId="23">
    <queryTableFields count="5">
      <queryTableField id="18" name="LAYER 01" tableColumnId="1"/>
      <queryTableField id="19" name="LAYER 02" tableColumnId="2"/>
      <queryTableField id="20" name="LAYER 03" tableColumnId="3"/>
      <queryTableField id="21" name="LAYER 04" tableColumnId="4"/>
      <queryTableField id="22" name="LAYER 05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295F89-069A-4871-98A8-40176E0F9219}" name="SB_INPUT" displayName="SB_INPUT" ref="H7:S13" totalsRowCount="1" headerRowDxfId="79" dataDxfId="78">
  <autoFilter ref="H7:S12" xr:uid="{00DD9469-52BF-4BB2-A868-26A9B3C4512E}"/>
  <tableColumns count="12">
    <tableColumn id="1" xr3:uid="{3A06F9F0-4B84-40F9-855B-5BDA7C23A688}" name="START" totalsRowLabel="Total" dataDxfId="77" totalsRowDxfId="76"/>
    <tableColumn id="2" xr3:uid="{00498CC9-4A80-4088-8AF9-567352FDE73A}" name="END" dataDxfId="75" totalsRowDxfId="74"/>
    <tableColumn id="3" xr3:uid="{F0DF7892-FDDE-4F04-89B6-1D682F5FB7BA}" name="MODEL" dataDxfId="73" totalsRowDxfId="72"/>
    <tableColumn id="4" xr3:uid="{D1C09553-973B-42AE-929A-6A0FE2D7864F}" name="DENSITY" dataDxfId="71" totalsRowDxfId="70"/>
    <tableColumn id="5" xr3:uid="{DD3A4BB5-B71E-4212-A58B-51D513630797}" name="COHESION_x000a_ULT. (PSF)" dataDxfId="69" totalsRowDxfId="68"/>
    <tableColumn id="6" xr3:uid="{ACDC5C3A-F3A0-48CB-8AF9-2CD7A738B327}" name="COHESION_x000a_FACT. (PSF)" dataDxfId="67" totalsRowDxfId="66"/>
    <tableColumn id="7" xr3:uid="{C9DCC3D4-E539-405D-B872-D04B09BB3FFF}" name="FRICTION ANGLE" dataDxfId="65" totalsRowDxfId="64"/>
    <tableColumn id="8" xr3:uid="{D8A89F02-DC9E-4842-8886-0410F112D397}" name="MODULUS OF SUBGRADE REACTION (STATIC)" dataDxfId="63" totalsRowDxfId="62"/>
    <tableColumn id="9" xr3:uid="{5BD93C12-BCEF-444E-A174-AD60EC101B6C}" name="MODULUS OF SUBGRADE REACTION (CYCLIC)" dataDxfId="61" totalsRowDxfId="60"/>
    <tableColumn id="10" xr3:uid="{73F34C14-EC2F-447E-9643-3F99ABA1148F}" name="fKh" totalsRowFunction="average" dataDxfId="59" totalsRowDxfId="58"/>
    <tableColumn id="11" xr3:uid="{4B4B58AB-5AB6-48EC-A913-24E0115AB4EA}" name="e50" dataDxfId="57" totalsRowDxfId="56"/>
    <tableColumn id="12" xr3:uid="{7000487D-24E6-460D-9000-A4B6FD172100}" name="fe50" totalsRowFunction="average" dataDxfId="55" totalsRowDxfId="5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E600C-3F26-4E86-BE4F-D03E7473E96C}" name="SB_02" displayName="SB_02" ref="H18:S25" totalsRowCount="1" headerRowDxfId="53" dataDxfId="52">
  <autoFilter ref="H18:S24" xr:uid="{0303130F-0F81-4275-8668-3440E3E6D488}"/>
  <tableColumns count="12">
    <tableColumn id="1" xr3:uid="{964A8606-88F8-4979-8766-5A5A09584C3B}" name="START" totalsRowFunction="average" dataDxfId="51" totalsRowDxfId="50">
      <calculatedColumnFormula>I18</calculatedColumnFormula>
    </tableColumn>
    <tableColumn id="2" xr3:uid="{47052D26-0BEB-492F-B424-21DC45A532D5}" name="END" dataDxfId="49" totalsRowDxfId="48"/>
    <tableColumn id="3" xr3:uid="{6CDAE461-09AC-472F-95A0-D4C6147608E7}" name="MODEL" dataDxfId="47" totalsRowDxfId="46"/>
    <tableColumn id="4" xr3:uid="{B1BAB9CC-E084-49B6-A0A1-4372BC435C73}" name="DENSITY" dataDxfId="45" totalsRowDxfId="44"/>
    <tableColumn id="5" xr3:uid="{5D44F0CF-FD0F-4495-9C6E-25C5C7AF7D9B}" name="COHESION_x000a_ULT." dataDxfId="43" totalsRowDxfId="42"/>
    <tableColumn id="6" xr3:uid="{20033B81-67A9-46F8-B908-7D63F0C8295E}" name="COHESION_x000a_FACT." dataDxfId="41" totalsRowDxfId="40">
      <calculatedColumnFormula>COHESION_PHI*L19</calculatedColumnFormula>
    </tableColumn>
    <tableColumn id="7" xr3:uid="{56616878-E562-4EE4-AC30-36BD4FA981AB}" name="FRICTION ANGLE" dataDxfId="39" totalsRowDxfId="38"/>
    <tableColumn id="8" xr3:uid="{2ACE739A-7374-4F53-9C65-6D28F93A2E02}" name="MODULUS OF SUBGRADE REACTION (STATIC)" dataDxfId="37" totalsRowDxfId="36"/>
    <tableColumn id="9" xr3:uid="{BB2AFB6F-6D3E-4629-A27F-D21411D24FE2}" name="MODULUS OF SUBGRADE REACTION (CYCLIC)" dataDxfId="35" totalsRowDxfId="34"/>
    <tableColumn id="10" xr3:uid="{76FD2FF7-9FBA-4C6B-913A-7952142DF9FB}" name="fKh" totalsRowFunction="average" dataDxfId="33" totalsRowDxfId="32">
      <calculatedColumnFormula>PHI_K*O19</calculatedColumnFormula>
    </tableColumn>
    <tableColumn id="11" xr3:uid="{48E5E531-E668-46C0-94D3-82505283B5CF}" name="e50" dataDxfId="31" totalsRowDxfId="30"/>
    <tableColumn id="12" xr3:uid="{FFF2A408-0F02-4334-A1E2-C5F670AF7464}" name="fe50" totalsRowFunction="average" dataDxfId="29" totalsRowDxfId="28">
      <calculatedColumnFormula>PHI_EPSILON*R19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E61EA6-551F-40AF-BB63-5893CD0E4A40}" name="SB_03" displayName="SB_03" ref="H29:S35" totalsRowCount="1" headerRowDxfId="27" dataDxfId="26">
  <autoFilter ref="H29:S34" xr:uid="{26726F7C-BB56-44E6-A06F-0015FB0985B3}"/>
  <tableColumns count="12">
    <tableColumn id="1" xr3:uid="{ED7512C9-D3AD-47A6-8AFA-DB50A698DB5B}" name="START" totalsRowLabel="Total" dataDxfId="25" totalsRowDxfId="24">
      <calculatedColumnFormula>I29</calculatedColumnFormula>
    </tableColumn>
    <tableColumn id="2" xr3:uid="{C99D7C53-F711-4C2A-BA53-4807FCA0B5ED}" name="END" dataDxfId="23" totalsRowDxfId="22"/>
    <tableColumn id="3" xr3:uid="{2DF2881B-B34C-49A8-BEAE-9983118D4878}" name="MODEL" dataDxfId="21" totalsRowDxfId="20"/>
    <tableColumn id="4" xr3:uid="{EADD4652-9383-429B-8741-37E95CF19C4A}" name="DENSITY" dataDxfId="19" totalsRowDxfId="18"/>
    <tableColumn id="5" xr3:uid="{A42D5C5C-9E84-453C-82E5-D273D2FF96D6}" name="COHESION_x000a_ULT." dataDxfId="17" totalsRowDxfId="16"/>
    <tableColumn id="6" xr3:uid="{7E6135AE-8B70-4119-BF5C-66BEEDFE812A}" name="COHESION_x000a_FACT." dataDxfId="15" totalsRowDxfId="14">
      <calculatedColumnFormula>COHESION_PHI*L30</calculatedColumnFormula>
    </tableColumn>
    <tableColumn id="7" xr3:uid="{BE11BDAB-FB1D-4D67-AF8C-435D123F23BE}" name="FRICTION ANGLE" dataDxfId="13" totalsRowDxfId="12"/>
    <tableColumn id="8" xr3:uid="{A9D1CB11-38EB-404A-BEA0-21F97F5CF3F8}" name="MODULUS OF SUBGRADE REACTION (STATIC)" dataDxfId="11" totalsRowDxfId="10"/>
    <tableColumn id="9" xr3:uid="{54A4E087-EBB4-4810-852F-131B75B2E9A4}" name="MODULUS OF SUBGRADE REACTION (CYCLIC)" dataDxfId="9" totalsRowDxfId="8"/>
    <tableColumn id="10" xr3:uid="{D4176CEF-619F-45D3-B89A-B0AD1520793E}" name="fKh" totalsRowFunction="average" dataDxfId="7" totalsRowDxfId="6">
      <calculatedColumnFormula>PHI_K*O30</calculatedColumnFormula>
    </tableColumn>
    <tableColumn id="11" xr3:uid="{646CD1DD-7E21-4DC3-9DFC-BB54F187A4A4}" name="e50" dataDxfId="5" totalsRowDxfId="4"/>
    <tableColumn id="12" xr3:uid="{7C538D4D-D3E6-42F1-AC03-9C678C572C51}" name="fe50" totalsRowFunction="average" dataDxfId="3" totalsRowDxfId="2">
      <calculatedColumnFormula>PHI_EPSILON*R30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DDEACC-A18C-44CF-A237-F0ABB7D67347}" name="SB_INPUT_1" displayName="SB_INPUT_1" ref="C39:G46" tableType="queryTable" totalsRowShown="0" headerRowDxfId="1" dataDxfId="0" headerRowCellStyle="Normal 3" dataCellStyle="Normal 3">
  <autoFilter ref="C39:G46" xr:uid="{23DDEACC-A18C-44CF-A237-F0ABB7D67347}"/>
  <tableColumns count="5">
    <tableColumn id="1" xr3:uid="{1FAA4FEA-B372-4159-B680-B7CD72C5941F}" uniqueName="1" name="LAYER 01" queryTableFieldId="18" dataCellStyle="Normal 3"/>
    <tableColumn id="2" xr3:uid="{CBFAE0B6-1406-4F9C-B106-9839BC5FE229}" uniqueName="2" name="LAYER 02" queryTableFieldId="19" dataCellStyle="Normal 3"/>
    <tableColumn id="3" xr3:uid="{0DEDB335-E006-42DB-A0DF-6A087F38E918}" uniqueName="3" name="LAYER 03" queryTableFieldId="20" dataCellStyle="Normal 3"/>
    <tableColumn id="4" xr3:uid="{E7B886EA-6E5D-4C5A-B1C6-AE65359D7EC7}" uniqueName="4" name="LAYER 04" queryTableFieldId="21" dataCellStyle="Normal 3"/>
    <tableColumn id="5" xr3:uid="{5BC32FB7-5903-4FF3-B91B-39060F2C28E4}" uniqueName="5" name="LAYER 05" queryTableFieldId="22" dataCellStyle="Normal 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19/04/relationships/namedSheetView" Target="../namedSheetViews/namedSheetView1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wtonexcelbach.com/2011/07/09/using-latpilepy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interactiveds.com.au/" TargetMode="External"/><Relationship Id="rId1" Type="http://schemas.openxmlformats.org/officeDocument/2006/relationships/hyperlink" Target="http://newtonexcelbach.wordpres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0AE7-495C-4916-9BD5-DEFDA10A3502}">
  <sheetPr codeName="Sheet5"/>
  <dimension ref="B2:AA116"/>
  <sheetViews>
    <sheetView tabSelected="1" topLeftCell="A41" zoomScaleNormal="100" workbookViewId="0">
      <selection activeCell="M54" sqref="M54"/>
    </sheetView>
  </sheetViews>
  <sheetFormatPr defaultRowHeight="15"/>
  <cols>
    <col min="1" max="1" width="9.140625" style="182"/>
    <col min="2" max="2" width="21" style="182" customWidth="1"/>
    <col min="3" max="4" width="11.85546875" style="182" bestFit="1" customWidth="1"/>
    <col min="5" max="5" width="12.140625" style="182" bestFit="1" customWidth="1"/>
    <col min="6" max="7" width="11.85546875" style="182" bestFit="1" customWidth="1"/>
    <col min="8" max="9" width="11.28515625" style="182" bestFit="1" customWidth="1"/>
    <col min="10" max="10" width="26.140625" style="183" customWidth="1"/>
    <col min="11" max="12" width="11.28515625" style="182" bestFit="1" customWidth="1"/>
    <col min="13" max="13" width="21.140625" style="182" bestFit="1" customWidth="1"/>
    <col min="14" max="14" width="13" style="182" customWidth="1"/>
    <col min="15" max="15" width="16.5703125" style="183" customWidth="1"/>
    <col min="16" max="16" width="17.5703125" style="183" customWidth="1"/>
    <col min="17" max="17" width="20.42578125" style="183" bestFit="1" customWidth="1"/>
    <col min="18" max="18" width="15.140625" style="183" customWidth="1"/>
    <col min="19" max="19" width="18.5703125" style="182" customWidth="1"/>
    <col min="20" max="20" width="32.85546875" style="182" bestFit="1" customWidth="1"/>
    <col min="21" max="21" width="24.85546875" style="182" customWidth="1"/>
    <col min="22" max="22" width="18.28515625" style="182" customWidth="1"/>
    <col min="23" max="23" width="9.140625" style="182"/>
    <col min="24" max="24" width="39.85546875" style="182" bestFit="1" customWidth="1"/>
    <col min="25" max="16384" width="9.140625" style="182"/>
  </cols>
  <sheetData>
    <row r="2" spans="8:19">
      <c r="H2" s="227" t="s">
        <v>288</v>
      </c>
    </row>
    <row r="4" spans="8:19" ht="15.75" thickBot="1"/>
    <row r="5" spans="8:19" s="191" customFormat="1" ht="19.5" thickBot="1">
      <c r="H5" s="184" t="s">
        <v>261</v>
      </c>
      <c r="I5" s="185" t="s">
        <v>320</v>
      </c>
      <c r="J5" s="186"/>
      <c r="K5" s="187"/>
      <c r="L5" s="188" t="s">
        <v>262</v>
      </c>
      <c r="M5" s="185">
        <v>0.66600000000000004</v>
      </c>
      <c r="N5" s="189"/>
      <c r="O5" s="188" t="s">
        <v>263</v>
      </c>
      <c r="P5" s="185">
        <v>0.66600000000000004</v>
      </c>
      <c r="Q5" s="186"/>
      <c r="R5" s="190" t="s">
        <v>264</v>
      </c>
      <c r="S5" s="185">
        <v>1.5</v>
      </c>
    </row>
    <row r="6" spans="8:19" s="191" customFormat="1">
      <c r="H6" s="192"/>
      <c r="J6" s="207"/>
      <c r="L6" s="207"/>
      <c r="M6" s="207"/>
      <c r="N6" s="208"/>
      <c r="O6" s="209"/>
      <c r="P6" s="207"/>
      <c r="Q6" s="207"/>
      <c r="R6" s="207"/>
      <c r="S6" s="193"/>
    </row>
    <row r="7" spans="8:19" s="196" customFormat="1" ht="60">
      <c r="H7" s="194" t="s">
        <v>265</v>
      </c>
      <c r="I7" s="210" t="s">
        <v>266</v>
      </c>
      <c r="J7" s="210" t="s">
        <v>267</v>
      </c>
      <c r="K7" s="210" t="s">
        <v>268</v>
      </c>
      <c r="L7" s="211" t="s">
        <v>338</v>
      </c>
      <c r="M7" s="211" t="s">
        <v>339</v>
      </c>
      <c r="N7" s="211" t="s">
        <v>271</v>
      </c>
      <c r="O7" s="211" t="s">
        <v>272</v>
      </c>
      <c r="P7" s="211" t="s">
        <v>273</v>
      </c>
      <c r="Q7" s="212" t="s">
        <v>274</v>
      </c>
      <c r="R7" s="213" t="s">
        <v>275</v>
      </c>
      <c r="S7" s="195" t="s">
        <v>276</v>
      </c>
    </row>
    <row r="8" spans="8:19" s="199" customFormat="1">
      <c r="H8" s="197">
        <v>0</v>
      </c>
      <c r="I8" s="214">
        <v>2.5</v>
      </c>
      <c r="J8" s="231" t="s">
        <v>277</v>
      </c>
      <c r="K8" s="214">
        <v>125</v>
      </c>
      <c r="L8" s="214">
        <v>0.01</v>
      </c>
      <c r="M8" s="205">
        <v>6.6600000000000001E-3</v>
      </c>
      <c r="N8" s="214">
        <v>0</v>
      </c>
      <c r="O8" s="214">
        <v>0.01</v>
      </c>
      <c r="P8" s="214" t="s">
        <v>330</v>
      </c>
      <c r="Q8" s="205">
        <v>6.6600000000000001E-3</v>
      </c>
      <c r="R8" s="214">
        <v>5.38</v>
      </c>
      <c r="S8" s="198">
        <v>8.07</v>
      </c>
    </row>
    <row r="9" spans="8:19" s="199" customFormat="1">
      <c r="H9" s="197">
        <v>2.5</v>
      </c>
      <c r="I9" s="214">
        <v>15</v>
      </c>
      <c r="J9" s="231" t="s">
        <v>277</v>
      </c>
      <c r="K9" s="214">
        <v>125</v>
      </c>
      <c r="L9" s="214">
        <v>1000</v>
      </c>
      <c r="M9" s="205">
        <v>666</v>
      </c>
      <c r="N9" s="214">
        <v>0</v>
      </c>
      <c r="O9" s="214">
        <v>220</v>
      </c>
      <c r="P9" s="214" t="s">
        <v>330</v>
      </c>
      <c r="Q9" s="205">
        <v>146.52000000000001</v>
      </c>
      <c r="R9" s="214">
        <v>1.33</v>
      </c>
      <c r="S9" s="198">
        <v>1.9950000000000001</v>
      </c>
    </row>
    <row r="10" spans="8:19" s="199" customFormat="1">
      <c r="H10" s="197">
        <v>15</v>
      </c>
      <c r="I10" s="214">
        <v>25</v>
      </c>
      <c r="J10" s="231" t="s">
        <v>321</v>
      </c>
      <c r="K10" s="214">
        <v>150</v>
      </c>
      <c r="L10" s="214">
        <v>1300</v>
      </c>
      <c r="M10" s="205">
        <v>865.80000000000007</v>
      </c>
      <c r="N10" s="214">
        <v>0</v>
      </c>
      <c r="O10" s="214">
        <v>330</v>
      </c>
      <c r="P10" s="214" t="s">
        <v>330</v>
      </c>
      <c r="Q10" s="205">
        <v>219.78</v>
      </c>
      <c r="R10" s="214">
        <v>0.86</v>
      </c>
      <c r="S10" s="198">
        <v>1.29</v>
      </c>
    </row>
    <row r="11" spans="8:19" s="199" customFormat="1">
      <c r="H11" s="197"/>
      <c r="I11" s="214"/>
      <c r="J11" s="231"/>
      <c r="K11" s="214"/>
      <c r="L11" s="214"/>
      <c r="M11" s="205"/>
      <c r="N11" s="214"/>
      <c r="O11" s="214"/>
      <c r="P11" s="214"/>
      <c r="Q11" s="205"/>
      <c r="R11" s="214"/>
      <c r="S11" s="198"/>
    </row>
    <row r="12" spans="8:19">
      <c r="H12" s="197"/>
      <c r="I12" s="214"/>
      <c r="J12" s="231"/>
      <c r="K12" s="214"/>
      <c r="L12" s="214"/>
      <c r="M12" s="205"/>
      <c r="N12" s="214"/>
      <c r="O12" s="214"/>
      <c r="P12" s="214"/>
      <c r="Q12" s="205"/>
      <c r="R12" s="214"/>
      <c r="S12" s="198"/>
    </row>
    <row r="13" spans="8:19" ht="15.75" thickBot="1">
      <c r="H13" s="215" t="s">
        <v>283</v>
      </c>
      <c r="I13" s="217"/>
      <c r="J13" s="217"/>
      <c r="K13" s="217"/>
      <c r="L13" s="217"/>
      <c r="M13" s="217"/>
      <c r="N13" s="217"/>
      <c r="O13" s="217"/>
      <c r="P13" s="217"/>
      <c r="Q13" s="217">
        <f>SUBTOTAL(101,SB_INPUT[fKh])</f>
        <v>122.10222</v>
      </c>
      <c r="R13" s="217"/>
      <c r="S13" s="218">
        <f>SUBTOTAL(101,SB_INPUT[fe50])</f>
        <v>3.7850000000000001</v>
      </c>
    </row>
    <row r="14" spans="8:19">
      <c r="I14" s="35"/>
      <c r="J14" s="35"/>
      <c r="K14" s="226"/>
      <c r="L14" s="226"/>
      <c r="M14" s="226"/>
    </row>
    <row r="15" spans="8:19" hidden="1"/>
    <row r="16" spans="8:19" ht="19.5" hidden="1" thickBot="1">
      <c r="H16" s="200" t="s">
        <v>261</v>
      </c>
      <c r="I16" s="201" t="s">
        <v>281</v>
      </c>
      <c r="J16" s="202"/>
      <c r="K16" s="203"/>
      <c r="L16" s="188" t="s">
        <v>262</v>
      </c>
      <c r="M16" s="185">
        <v>0.5</v>
      </c>
      <c r="N16" s="204"/>
      <c r="O16" s="188" t="s">
        <v>263</v>
      </c>
      <c r="P16" s="185">
        <v>0.5</v>
      </c>
      <c r="Q16" s="202"/>
      <c r="R16" s="190" t="s">
        <v>264</v>
      </c>
      <c r="S16" s="185">
        <f>PHI_EPSILON</f>
        <v>1.5</v>
      </c>
    </row>
    <row r="17" spans="8:19" s="206" customFormat="1" hidden="1">
      <c r="H17" s="192"/>
      <c r="I17" s="191"/>
      <c r="J17" s="207"/>
      <c r="K17" s="191"/>
      <c r="L17" s="207"/>
      <c r="M17" s="207"/>
      <c r="N17" s="208"/>
      <c r="O17" s="209"/>
      <c r="P17" s="207"/>
      <c r="Q17" s="207"/>
      <c r="R17" s="207"/>
      <c r="S17" s="193"/>
    </row>
    <row r="18" spans="8:19" ht="60" hidden="1">
      <c r="H18" s="194" t="s">
        <v>265</v>
      </c>
      <c r="I18" s="210" t="s">
        <v>266</v>
      </c>
      <c r="J18" s="210" t="s">
        <v>267</v>
      </c>
      <c r="K18" s="210" t="s">
        <v>268</v>
      </c>
      <c r="L18" s="211" t="s">
        <v>269</v>
      </c>
      <c r="M18" s="211" t="s">
        <v>270</v>
      </c>
      <c r="N18" s="211" t="s">
        <v>271</v>
      </c>
      <c r="O18" s="211" t="s">
        <v>272</v>
      </c>
      <c r="P18" s="211" t="s">
        <v>273</v>
      </c>
      <c r="Q18" s="212" t="s">
        <v>274</v>
      </c>
      <c r="R18" s="213" t="s">
        <v>275</v>
      </c>
      <c r="S18" s="195" t="s">
        <v>276</v>
      </c>
    </row>
    <row r="19" spans="8:19" hidden="1">
      <c r="H19" s="197">
        <v>0</v>
      </c>
      <c r="I19" s="214">
        <v>2.5</v>
      </c>
      <c r="J19" s="205" t="s">
        <v>277</v>
      </c>
      <c r="K19" s="214">
        <v>110</v>
      </c>
      <c r="L19" s="214">
        <v>0</v>
      </c>
      <c r="M19" s="205">
        <f t="shared" ref="M19:M24" si="0">COHESION_PHI*L19</f>
        <v>0</v>
      </c>
      <c r="N19" s="205"/>
      <c r="O19" s="214">
        <v>0</v>
      </c>
      <c r="P19" s="214">
        <v>0</v>
      </c>
      <c r="Q19" s="205">
        <f t="shared" ref="Q19:Q24" si="1">PHI_K*O19</f>
        <v>0</v>
      </c>
      <c r="R19" s="214">
        <v>0</v>
      </c>
      <c r="S19" s="198">
        <f t="shared" ref="S19:S24" si="2">PHI_EPSILON*R19</f>
        <v>0</v>
      </c>
    </row>
    <row r="20" spans="8:19" hidden="1">
      <c r="H20" s="197">
        <f>I19</f>
        <v>2.5</v>
      </c>
      <c r="I20" s="214">
        <v>8</v>
      </c>
      <c r="J20" s="205" t="s">
        <v>278</v>
      </c>
      <c r="K20" s="214">
        <v>130</v>
      </c>
      <c r="L20" s="214">
        <v>1250</v>
      </c>
      <c r="M20" s="205">
        <f t="shared" si="0"/>
        <v>832.5</v>
      </c>
      <c r="N20" s="205"/>
      <c r="O20" s="214">
        <v>300</v>
      </c>
      <c r="P20" s="214">
        <v>120</v>
      </c>
      <c r="Q20" s="205">
        <f t="shared" si="1"/>
        <v>199.8</v>
      </c>
      <c r="R20" s="214">
        <v>0.9</v>
      </c>
      <c r="S20" s="198">
        <f t="shared" si="2"/>
        <v>1.35</v>
      </c>
    </row>
    <row r="21" spans="8:19" hidden="1">
      <c r="H21" s="197">
        <f>I20</f>
        <v>8</v>
      </c>
      <c r="I21" s="214">
        <v>14</v>
      </c>
      <c r="J21" s="205" t="s">
        <v>279</v>
      </c>
      <c r="K21" s="214">
        <v>130</v>
      </c>
      <c r="L21" s="214">
        <v>1250</v>
      </c>
      <c r="M21" s="205">
        <f t="shared" si="0"/>
        <v>832.5</v>
      </c>
      <c r="N21" s="205"/>
      <c r="O21" s="214">
        <v>300</v>
      </c>
      <c r="P21" s="214">
        <v>120</v>
      </c>
      <c r="Q21" s="205">
        <f t="shared" si="1"/>
        <v>199.8</v>
      </c>
      <c r="R21" s="214">
        <v>0.9</v>
      </c>
      <c r="S21" s="198">
        <f t="shared" si="2"/>
        <v>1.35</v>
      </c>
    </row>
    <row r="22" spans="8:19" hidden="1">
      <c r="H22" s="197">
        <f>I21</f>
        <v>14</v>
      </c>
      <c r="I22" s="214">
        <v>18</v>
      </c>
      <c r="J22" s="205" t="s">
        <v>280</v>
      </c>
      <c r="K22" s="214">
        <v>135</v>
      </c>
      <c r="L22" s="214">
        <v>3500</v>
      </c>
      <c r="M22" s="205">
        <f t="shared" si="0"/>
        <v>2331</v>
      </c>
      <c r="N22" s="205"/>
      <c r="O22" s="214">
        <v>1250</v>
      </c>
      <c r="P22" s="214">
        <v>500</v>
      </c>
      <c r="Q22" s="205">
        <f t="shared" si="1"/>
        <v>832.5</v>
      </c>
      <c r="R22" s="214">
        <v>0.5</v>
      </c>
      <c r="S22" s="198">
        <f t="shared" si="2"/>
        <v>0.75</v>
      </c>
    </row>
    <row r="23" spans="8:19" hidden="1">
      <c r="H23" s="197">
        <f>I22</f>
        <v>18</v>
      </c>
      <c r="I23" s="214">
        <v>21.9</v>
      </c>
      <c r="J23" s="205" t="s">
        <v>280</v>
      </c>
      <c r="K23" s="214">
        <v>140</v>
      </c>
      <c r="L23" s="214">
        <v>6000</v>
      </c>
      <c r="M23" s="205">
        <f t="shared" si="0"/>
        <v>3996</v>
      </c>
      <c r="N23" s="205"/>
      <c r="O23" s="214">
        <v>2350</v>
      </c>
      <c r="P23" s="214">
        <v>940</v>
      </c>
      <c r="Q23" s="205">
        <f t="shared" si="1"/>
        <v>1565.1000000000001</v>
      </c>
      <c r="R23" s="214">
        <v>0.35</v>
      </c>
      <c r="S23" s="198">
        <f t="shared" si="2"/>
        <v>0.52499999999999991</v>
      </c>
    </row>
    <row r="24" spans="8:19" hidden="1">
      <c r="H24" s="197">
        <f>I23</f>
        <v>21.9</v>
      </c>
      <c r="I24" s="214">
        <v>100</v>
      </c>
      <c r="J24" s="205" t="s">
        <v>280</v>
      </c>
      <c r="K24" s="214">
        <v>160</v>
      </c>
      <c r="L24" s="214">
        <v>2500</v>
      </c>
      <c r="M24" s="205">
        <f t="shared" si="0"/>
        <v>1665</v>
      </c>
      <c r="N24" s="205">
        <v>32</v>
      </c>
      <c r="O24" s="214">
        <v>3000</v>
      </c>
      <c r="P24" s="214">
        <v>1200</v>
      </c>
      <c r="Q24" s="205">
        <f t="shared" si="1"/>
        <v>1998</v>
      </c>
      <c r="R24" s="214">
        <v>0.3</v>
      </c>
      <c r="S24" s="198">
        <f t="shared" si="2"/>
        <v>0.44999999999999996</v>
      </c>
    </row>
    <row r="25" spans="8:19" ht="15.75" hidden="1" thickBot="1">
      <c r="H25" s="215" t="e">
        <f>SUBTOTAL(101,SB_02[START])</f>
        <v>#DIV/0!</v>
      </c>
      <c r="I25" s="216"/>
      <c r="J25" s="217"/>
      <c r="K25" s="216"/>
      <c r="L25" s="216"/>
      <c r="M25" s="217"/>
      <c r="N25" s="217"/>
      <c r="O25" s="216"/>
      <c r="P25" s="216"/>
      <c r="Q25" s="217" t="e">
        <f>SUBTOTAL(101,SB_02[fKh])</f>
        <v>#DIV/0!</v>
      </c>
      <c r="R25" s="216"/>
      <c r="S25" s="218" t="e">
        <f>SUBTOTAL(101,SB_02[fe50])</f>
        <v>#DIV/0!</v>
      </c>
    </row>
    <row r="26" spans="8:19" hidden="1"/>
    <row r="27" spans="8:19" ht="19.5" hidden="1" thickBot="1">
      <c r="H27" s="200" t="s">
        <v>261</v>
      </c>
      <c r="I27" s="201" t="s">
        <v>282</v>
      </c>
      <c r="J27" s="202"/>
      <c r="K27" s="203"/>
      <c r="L27" s="188" t="s">
        <v>262</v>
      </c>
      <c r="M27" s="185">
        <v>0.5</v>
      </c>
      <c r="N27" s="204"/>
      <c r="O27" s="188" t="s">
        <v>263</v>
      </c>
      <c r="P27" s="185">
        <v>0.5</v>
      </c>
      <c r="Q27" s="202"/>
      <c r="R27" s="190" t="s">
        <v>264</v>
      </c>
      <c r="S27" s="185">
        <f>PHI_EPSILON</f>
        <v>1.5</v>
      </c>
    </row>
    <row r="28" spans="8:19" s="206" customFormat="1" hidden="1">
      <c r="H28" s="192"/>
      <c r="I28" s="191"/>
      <c r="J28" s="207"/>
      <c r="K28" s="191"/>
      <c r="L28" s="207"/>
      <c r="M28" s="207"/>
      <c r="N28" s="208"/>
      <c r="O28" s="209"/>
      <c r="P28" s="207"/>
      <c r="Q28" s="207"/>
      <c r="R28" s="207"/>
      <c r="S28" s="193"/>
    </row>
    <row r="29" spans="8:19" ht="60" hidden="1">
      <c r="H29" s="194" t="s">
        <v>265</v>
      </c>
      <c r="I29" s="210" t="s">
        <v>266</v>
      </c>
      <c r="J29" s="210" t="s">
        <v>267</v>
      </c>
      <c r="K29" s="210" t="s">
        <v>268</v>
      </c>
      <c r="L29" s="211" t="s">
        <v>269</v>
      </c>
      <c r="M29" s="211" t="s">
        <v>270</v>
      </c>
      <c r="N29" s="211" t="s">
        <v>271</v>
      </c>
      <c r="O29" s="211" t="s">
        <v>272</v>
      </c>
      <c r="P29" s="211" t="s">
        <v>273</v>
      </c>
      <c r="Q29" s="212" t="s">
        <v>274</v>
      </c>
      <c r="R29" s="213" t="s">
        <v>275</v>
      </c>
      <c r="S29" s="195" t="s">
        <v>276</v>
      </c>
    </row>
    <row r="30" spans="8:19" hidden="1">
      <c r="H30" s="197">
        <v>0</v>
      </c>
      <c r="I30" s="214">
        <v>2.5</v>
      </c>
      <c r="J30" s="229" t="s">
        <v>277</v>
      </c>
      <c r="K30" s="214">
        <v>110</v>
      </c>
      <c r="L30" s="214">
        <v>0</v>
      </c>
      <c r="M30" s="205">
        <f>COHESION_PHI*L30</f>
        <v>0</v>
      </c>
      <c r="N30" s="205"/>
      <c r="O30" s="214">
        <v>0</v>
      </c>
      <c r="P30" s="214">
        <v>0</v>
      </c>
      <c r="Q30" s="205">
        <f>PHI_K*O30</f>
        <v>0</v>
      </c>
      <c r="R30" s="214">
        <v>0</v>
      </c>
      <c r="S30" s="198">
        <f>PHI_EPSILON*R30</f>
        <v>0</v>
      </c>
    </row>
    <row r="31" spans="8:19" hidden="1">
      <c r="H31" s="197">
        <f>I30</f>
        <v>2.5</v>
      </c>
      <c r="I31" s="214">
        <v>8</v>
      </c>
      <c r="J31" s="205" t="s">
        <v>278</v>
      </c>
      <c r="K31" s="214">
        <v>135</v>
      </c>
      <c r="L31" s="214">
        <v>3000</v>
      </c>
      <c r="M31" s="205">
        <f>COHESION_PHI*L31</f>
        <v>1998</v>
      </c>
      <c r="N31" s="205"/>
      <c r="O31" s="214">
        <v>1050</v>
      </c>
      <c r="P31" s="214">
        <v>420</v>
      </c>
      <c r="Q31" s="205">
        <f>PHI_K*O31</f>
        <v>699.30000000000007</v>
      </c>
      <c r="R31" s="214">
        <v>0.5</v>
      </c>
      <c r="S31" s="198">
        <f>PHI_EPSILON*R31</f>
        <v>0.75</v>
      </c>
    </row>
    <row r="32" spans="8:19" hidden="1">
      <c r="H32" s="197">
        <f>I31</f>
        <v>8</v>
      </c>
      <c r="I32" s="214">
        <v>14.5</v>
      </c>
      <c r="J32" s="205" t="s">
        <v>279</v>
      </c>
      <c r="K32" s="214">
        <v>130</v>
      </c>
      <c r="L32" s="214">
        <v>1750</v>
      </c>
      <c r="M32" s="205">
        <f>COHESION_PHI*L32</f>
        <v>1165.5</v>
      </c>
      <c r="N32" s="205"/>
      <c r="O32" s="214">
        <v>500</v>
      </c>
      <c r="P32" s="214">
        <v>200</v>
      </c>
      <c r="Q32" s="205">
        <f>PHI_K*O32</f>
        <v>333</v>
      </c>
      <c r="R32" s="214">
        <v>0.7</v>
      </c>
      <c r="S32" s="198">
        <f>PHI_EPSILON*R32</f>
        <v>1.0499999999999998</v>
      </c>
    </row>
    <row r="33" spans="2:27" hidden="1">
      <c r="H33" s="197">
        <f>I32</f>
        <v>14.5</v>
      </c>
      <c r="I33" s="214">
        <v>28.5</v>
      </c>
      <c r="J33" s="205" t="s">
        <v>280</v>
      </c>
      <c r="K33" s="214">
        <v>140</v>
      </c>
      <c r="L33" s="214">
        <v>6000</v>
      </c>
      <c r="M33" s="205">
        <f>COHESION_PHI*L33</f>
        <v>3996</v>
      </c>
      <c r="N33" s="205"/>
      <c r="O33" s="214">
        <v>2350</v>
      </c>
      <c r="P33" s="214">
        <v>940</v>
      </c>
      <c r="Q33" s="205">
        <f>PHI_K*O33</f>
        <v>1565.1000000000001</v>
      </c>
      <c r="R33" s="214">
        <v>0.35</v>
      </c>
      <c r="S33" s="198">
        <f>PHI_EPSILON*R33</f>
        <v>0.52499999999999991</v>
      </c>
    </row>
    <row r="34" spans="2:27" hidden="1">
      <c r="H34" s="197">
        <f>I33</f>
        <v>28.5</v>
      </c>
      <c r="I34" s="214">
        <v>100</v>
      </c>
      <c r="J34" s="205" t="s">
        <v>280</v>
      </c>
      <c r="K34" s="214">
        <v>155</v>
      </c>
      <c r="L34" s="214">
        <v>2500</v>
      </c>
      <c r="M34" s="205">
        <f>COHESION_PHI*L34</f>
        <v>1665</v>
      </c>
      <c r="N34" s="205"/>
      <c r="O34" s="214">
        <v>3000</v>
      </c>
      <c r="P34" s="214">
        <v>1200</v>
      </c>
      <c r="Q34" s="205">
        <f>PHI_K*O34</f>
        <v>1998</v>
      </c>
      <c r="R34" s="214">
        <v>0.3</v>
      </c>
      <c r="S34" s="198">
        <f>PHI_EPSILON*R34</f>
        <v>0.44999999999999996</v>
      </c>
    </row>
    <row r="35" spans="2:27" ht="15.75" thickBot="1">
      <c r="H35" s="215" t="s">
        <v>283</v>
      </c>
      <c r="I35" s="217"/>
      <c r="J35" s="217"/>
      <c r="K35" s="217"/>
      <c r="L35" s="217"/>
      <c r="M35" s="217"/>
      <c r="N35" s="217"/>
      <c r="O35" s="217"/>
      <c r="P35" s="217"/>
      <c r="Q35" s="217" t="e">
        <f>SUBTOTAL(101,SB_03[fKh])</f>
        <v>#DIV/0!</v>
      </c>
      <c r="R35" s="217"/>
      <c r="S35" s="218" t="e">
        <f>SUBTOTAL(101,SB_03[fe50])</f>
        <v>#DIV/0!</v>
      </c>
    </row>
    <row r="36" spans="2:27" ht="15.75" thickBot="1"/>
    <row r="37" spans="2:27" ht="15.75" thickBot="1">
      <c r="B37" s="262"/>
      <c r="C37" s="272" t="s">
        <v>187</v>
      </c>
      <c r="D37" s="276"/>
      <c r="E37" s="276"/>
      <c r="F37" s="276"/>
      <c r="G37" s="277"/>
      <c r="H37" s="277"/>
      <c r="I37" s="256"/>
    </row>
    <row r="38" spans="2:27" ht="15.75" thickBot="1">
      <c r="B38" s="220"/>
      <c r="C38" s="263" t="str">
        <f>I5</f>
        <v>SB6</v>
      </c>
      <c r="H38" s="277"/>
      <c r="I38" s="273"/>
      <c r="J38" s="35"/>
      <c r="K38" s="35"/>
      <c r="L38" s="35"/>
      <c r="M38" s="35"/>
      <c r="T38" s="234" t="s">
        <v>297</v>
      </c>
      <c r="U38" s="235" t="s">
        <v>306</v>
      </c>
      <c r="V38" s="232" t="s">
        <v>307</v>
      </c>
      <c r="X38" s="241" t="s">
        <v>113</v>
      </c>
      <c r="Y38" s="242"/>
      <c r="Z38"/>
      <c r="AA38"/>
    </row>
    <row r="39" spans="2:27" ht="15.75" thickBot="1">
      <c r="B39" s="257"/>
      <c r="C39" s="242" t="s">
        <v>316</v>
      </c>
      <c r="D39" s="242" t="s">
        <v>317</v>
      </c>
      <c r="E39" s="242" t="s">
        <v>318</v>
      </c>
      <c r="F39" s="243" t="s">
        <v>319</v>
      </c>
      <c r="G39" t="s">
        <v>332</v>
      </c>
      <c r="O39" s="302" t="s">
        <v>289</v>
      </c>
      <c r="P39" s="303"/>
      <c r="Q39" s="253" t="s">
        <v>290</v>
      </c>
      <c r="R39" s="256"/>
      <c r="T39" s="291" t="s">
        <v>336</v>
      </c>
      <c r="U39" s="233">
        <f>12*12</f>
        <v>144</v>
      </c>
      <c r="V39" s="282" t="s">
        <v>230</v>
      </c>
      <c r="X39" s="244" t="s">
        <v>114</v>
      </c>
      <c r="Y39" s="245">
        <v>0.5</v>
      </c>
    </row>
    <row r="40" spans="2:27">
      <c r="B40" s="236" t="s">
        <v>325</v>
      </c>
      <c r="C40">
        <v>30</v>
      </c>
      <c r="D40">
        <f>5.5*12</f>
        <v>66</v>
      </c>
      <c r="E40">
        <f>8*12</f>
        <v>96</v>
      </c>
      <c r="F40"/>
      <c r="G40"/>
      <c r="J40" s="182"/>
      <c r="O40" s="257" t="s">
        <v>322</v>
      </c>
      <c r="P40" s="274" t="s">
        <v>296</v>
      </c>
      <c r="Q40" s="278" t="s">
        <v>291</v>
      </c>
      <c r="R40" s="279" t="s">
        <v>292</v>
      </c>
      <c r="T40" s="291" t="s">
        <v>337</v>
      </c>
      <c r="U40" s="233">
        <v>36</v>
      </c>
      <c r="V40" s="282" t="s">
        <v>230</v>
      </c>
      <c r="X40" s="246" t="s">
        <v>116</v>
      </c>
      <c r="Y40" s="247">
        <v>20</v>
      </c>
    </row>
    <row r="41" spans="2:27">
      <c r="B41" s="236" t="s">
        <v>331</v>
      </c>
      <c r="C41">
        <v>0.01</v>
      </c>
      <c r="D41">
        <f>1250/144</f>
        <v>8.6805555555555554</v>
      </c>
      <c r="E41">
        <f>2000/144</f>
        <v>13.888888888888889</v>
      </c>
      <c r="F41" s="1"/>
      <c r="G41"/>
      <c r="J41" s="182"/>
      <c r="O41" s="239">
        <f>U39</f>
        <v>144</v>
      </c>
      <c r="P41" s="219">
        <v>52</v>
      </c>
      <c r="Q41" s="289" t="s">
        <v>293</v>
      </c>
      <c r="R41" s="224">
        <v>3970</v>
      </c>
      <c r="T41" s="280" t="s">
        <v>298</v>
      </c>
      <c r="U41" s="237" t="s">
        <v>299</v>
      </c>
      <c r="V41" s="221"/>
      <c r="X41" s="246" t="s">
        <v>256</v>
      </c>
      <c r="Y41" s="248">
        <v>0.01</v>
      </c>
    </row>
    <row r="42" spans="2:27">
      <c r="B42" s="236" t="s">
        <v>284</v>
      </c>
      <c r="C42">
        <v>0</v>
      </c>
      <c r="D42"/>
      <c r="E42">
        <v>0</v>
      </c>
      <c r="F42"/>
      <c r="G42"/>
      <c r="J42" s="182"/>
      <c r="O42" s="220"/>
      <c r="P42" s="221"/>
      <c r="Q42" s="289" t="s">
        <v>313</v>
      </c>
      <c r="R42" s="224">
        <f>12*53908</f>
        <v>646896</v>
      </c>
      <c r="T42" s="280" t="s">
        <v>300</v>
      </c>
      <c r="U42" s="233">
        <v>1</v>
      </c>
      <c r="V42" s="282" t="s">
        <v>230</v>
      </c>
      <c r="X42" s="246" t="s">
        <v>257</v>
      </c>
      <c r="Y42" s="249">
        <v>0.01</v>
      </c>
    </row>
    <row r="43" spans="2:27" ht="15.75" thickBot="1">
      <c r="B43" s="236" t="s">
        <v>285</v>
      </c>
      <c r="C43">
        <v>7.2337499999999999E-2</v>
      </c>
      <c r="D43">
        <v>7.2337499999999999E-2</v>
      </c>
      <c r="E43">
        <v>8.6805000000000007E-2</v>
      </c>
      <c r="F43"/>
      <c r="G43"/>
      <c r="J43" s="182"/>
      <c r="O43" s="220">
        <f>120/48</f>
        <v>2.5</v>
      </c>
      <c r="P43" s="221"/>
      <c r="Q43" s="289" t="s">
        <v>333</v>
      </c>
      <c r="R43" s="224">
        <v>-5000</v>
      </c>
      <c r="T43" s="280" t="s">
        <v>312</v>
      </c>
      <c r="U43" s="238">
        <v>8</v>
      </c>
      <c r="V43" s="221"/>
      <c r="X43" s="250" t="s">
        <v>258</v>
      </c>
      <c r="Y43" s="252">
        <v>0.01</v>
      </c>
    </row>
    <row r="44" spans="2:27">
      <c r="B44" s="236" t="s">
        <v>286</v>
      </c>
      <c r="C44" s="1">
        <v>1</v>
      </c>
      <c r="D44" s="1">
        <v>8.9999999999999993E-3</v>
      </c>
      <c r="E44">
        <v>6.4999999999999997E-3</v>
      </c>
      <c r="F44"/>
      <c r="G44"/>
      <c r="J44" s="182"/>
      <c r="O44" s="220">
        <f>108/48</f>
        <v>2.25</v>
      </c>
      <c r="P44" s="221"/>
      <c r="Q44" s="289" t="s">
        <v>334</v>
      </c>
      <c r="R44" s="224">
        <v>-5000</v>
      </c>
      <c r="T44" s="280" t="s">
        <v>301</v>
      </c>
      <c r="U44" s="233">
        <v>3.5</v>
      </c>
      <c r="V44" s="282" t="s">
        <v>230</v>
      </c>
    </row>
    <row r="45" spans="2:27">
      <c r="B45" s="236" t="s">
        <v>56</v>
      </c>
      <c r="C45">
        <v>0</v>
      </c>
      <c r="D45">
        <v>1</v>
      </c>
      <c r="E45">
        <v>2</v>
      </c>
      <c r="F45"/>
      <c r="G45"/>
      <c r="J45" s="182"/>
      <c r="O45" s="220"/>
      <c r="P45" s="221"/>
      <c r="Q45" s="275" t="s">
        <v>294</v>
      </c>
      <c r="R45" s="224"/>
      <c r="T45" s="280" t="s">
        <v>302</v>
      </c>
      <c r="U45" s="233">
        <v>4500</v>
      </c>
      <c r="V45" s="282" t="s">
        <v>303</v>
      </c>
    </row>
    <row r="46" spans="2:27" ht="15.75" thickBot="1">
      <c r="B46" s="260" t="s">
        <v>287</v>
      </c>
      <c r="C46" s="251">
        <v>0</v>
      </c>
      <c r="D46" s="251">
        <v>147</v>
      </c>
      <c r="E46" s="251">
        <v>147</v>
      </c>
      <c r="F46" s="251"/>
      <c r="G46"/>
      <c r="J46" s="182"/>
      <c r="O46" s="220"/>
      <c r="P46" s="219"/>
      <c r="Q46" s="275" t="s">
        <v>295</v>
      </c>
      <c r="R46" s="224">
        <v>15</v>
      </c>
      <c r="T46" s="280" t="s">
        <v>304</v>
      </c>
      <c r="U46" s="233">
        <v>60000</v>
      </c>
      <c r="V46" s="282" t="s">
        <v>303</v>
      </c>
    </row>
    <row r="47" spans="2:27" ht="15.75" thickBot="1">
      <c r="J47" s="182"/>
      <c r="O47" s="222"/>
      <c r="P47" s="223"/>
      <c r="Q47" s="290" t="s">
        <v>335</v>
      </c>
      <c r="R47" s="225">
        <v>14</v>
      </c>
      <c r="T47" s="280" t="s">
        <v>305</v>
      </c>
      <c r="U47" s="281">
        <v>29000000</v>
      </c>
      <c r="V47" s="283" t="s">
        <v>303</v>
      </c>
    </row>
    <row r="48" spans="2:27" ht="15.75" thickBot="1">
      <c r="J48" s="182"/>
      <c r="O48" s="182"/>
      <c r="P48" s="182"/>
      <c r="T48" s="280" t="s">
        <v>308</v>
      </c>
      <c r="U48" s="284">
        <f>57000*SQRT(U45)</f>
        <v>3823676.24152464</v>
      </c>
      <c r="V48" s="282" t="s">
        <v>303</v>
      </c>
    </row>
    <row r="49" spans="4:22">
      <c r="D49" s="182">
        <v>1.9949999999999999E-2</v>
      </c>
      <c r="E49" s="182">
        <v>1.3299999999999999E-2</v>
      </c>
      <c r="J49" s="182"/>
      <c r="O49" s="182"/>
      <c r="P49" s="257" t="s">
        <v>313</v>
      </c>
      <c r="Q49" s="258">
        <f>MAXA(P56:P115)/12000</f>
        <v>65.925239271059638</v>
      </c>
      <c r="R49" s="265" t="s">
        <v>329</v>
      </c>
      <c r="T49" s="280" t="s">
        <v>309</v>
      </c>
      <c r="U49" s="284">
        <f>7.5*SQRT(U45)</f>
        <v>503.11529493745263</v>
      </c>
      <c r="V49" s="282" t="s">
        <v>303</v>
      </c>
    </row>
    <row r="50" spans="4:22">
      <c r="D50" s="292">
        <f>5.411*12</f>
        <v>64.931999999999988</v>
      </c>
      <c r="J50" s="182"/>
      <c r="O50" s="182"/>
      <c r="P50" s="236" t="s">
        <v>293</v>
      </c>
      <c r="Q50" s="259" cm="1">
        <f t="array" ref="Q50">IF(ABS(MINA(Q56:Q115)/1000)&gt;ABS(MAXA(Q56:Q115)/1000),MINA(Q56:Q115/1000,MAXA(Q56:Q115)/1000))</f>
        <v>-12.790315160214901</v>
      </c>
      <c r="R50" s="266" t="s">
        <v>327</v>
      </c>
      <c r="T50" s="280" t="s">
        <v>310</v>
      </c>
      <c r="U50" s="284">
        <v>600</v>
      </c>
      <c r="V50" s="282" t="s">
        <v>314</v>
      </c>
    </row>
    <row r="51" spans="4:22" ht="15.75" thickBot="1">
      <c r="D51" s="292">
        <f>1.83*12</f>
        <v>21.96</v>
      </c>
      <c r="J51" s="182"/>
      <c r="O51" s="182"/>
      <c r="P51" s="260" t="s">
        <v>326</v>
      </c>
      <c r="Q51" s="261">
        <f>MAXA(O56:O115)</f>
        <v>0.12197054239373685</v>
      </c>
      <c r="R51" s="267" t="s">
        <v>328</v>
      </c>
      <c r="T51" s="285" t="s">
        <v>311</v>
      </c>
      <c r="U51" s="286"/>
      <c r="V51" s="287" t="s">
        <v>230</v>
      </c>
    </row>
    <row r="52" spans="4:22" ht="15.75" thickBot="1">
      <c r="D52" s="182">
        <f>SQRT(D50^2+D51^2)</f>
        <v>68.54492121229697</v>
      </c>
      <c r="J52" s="182"/>
      <c r="T52" s="254" t="s">
        <v>324</v>
      </c>
      <c r="U52" s="255">
        <f>U48*PI()*U40^4/64</f>
        <v>315254296640.45007</v>
      </c>
      <c r="V52" s="256"/>
    </row>
    <row r="53" spans="4:22">
      <c r="J53" s="182"/>
      <c r="L53"/>
      <c r="U53" s="240">
        <f>PI()*U40^4/64</f>
        <v>82447.957600810536</v>
      </c>
    </row>
    <row r="54" spans="4:22" ht="15.75" thickBot="1">
      <c r="J54" s="182"/>
      <c r="L54"/>
    </row>
    <row r="55" spans="4:22" ht="15.75" thickBot="1">
      <c r="H55"/>
      <c r="I55"/>
      <c r="J55"/>
      <c r="K55"/>
      <c r="L55"/>
      <c r="N55" s="269" t="s">
        <v>323</v>
      </c>
      <c r="O55" s="270" t="s">
        <v>33</v>
      </c>
      <c r="P55" s="270" t="s">
        <v>42</v>
      </c>
      <c r="Q55" s="270" t="s">
        <v>37</v>
      </c>
      <c r="R55" s="270" t="s">
        <v>46</v>
      </c>
      <c r="S55" s="271" t="s">
        <v>88</v>
      </c>
    </row>
    <row r="56" spans="4:22">
      <c r="J56" s="182"/>
      <c r="N56" s="220" cm="1">
        <f t="array" ref="N56:S108">LatPile(SEGMENTS,LOADS,SB_INPUT_1[],SECTION_TABLE,DEFAULT_TABLE)</f>
        <v>0</v>
      </c>
      <c r="O56" s="183">
        <v>0.12197054239373685</v>
      </c>
      <c r="P56" s="183">
        <v>646896.00000590086</v>
      </c>
      <c r="Q56" s="183">
        <v>3970.0000005960464</v>
      </c>
      <c r="R56" s="183">
        <v>315254322255.43774</v>
      </c>
      <c r="S56" s="221">
        <v>0</v>
      </c>
    </row>
    <row r="57" spans="4:22">
      <c r="J57" s="182"/>
      <c r="N57" s="182">
        <v>-2.7692307692307692</v>
      </c>
      <c r="O57" s="183">
        <v>0.11832476459782047</v>
      </c>
      <c r="P57" s="183">
        <v>657871.62401336432</v>
      </c>
      <c r="Q57" s="183">
        <v>3970.0000017285347</v>
      </c>
      <c r="R57" s="183">
        <v>315254322255.43774</v>
      </c>
      <c r="S57" s="221">
        <v>0</v>
      </c>
    </row>
    <row r="58" spans="4:22">
      <c r="J58" s="182"/>
      <c r="N58" s="220">
        <v>-5.5384615384615383</v>
      </c>
      <c r="O58" s="183">
        <v>0.11469498991285706</v>
      </c>
      <c r="P58" s="183">
        <v>668847.32804095745</v>
      </c>
      <c r="Q58" s="183">
        <v>3969.9999997615814</v>
      </c>
      <c r="R58" s="183">
        <v>315254322255.43774</v>
      </c>
      <c r="S58" s="221">
        <v>0</v>
      </c>
    </row>
    <row r="59" spans="4:22">
      <c r="J59" s="182"/>
      <c r="N59" s="220">
        <v>-8.3076923076923066</v>
      </c>
      <c r="O59" s="183">
        <v>0.1110814853245778</v>
      </c>
      <c r="P59" s="183">
        <v>679823.11341530085</v>
      </c>
      <c r="Q59" s="183">
        <v>3970.000000834465</v>
      </c>
      <c r="R59" s="183">
        <v>315254322255.43774</v>
      </c>
      <c r="S59" s="221">
        <v>0</v>
      </c>
    </row>
    <row r="60" spans="4:22">
      <c r="J60" s="182"/>
      <c r="N60" s="220">
        <v>-11.076923076923077</v>
      </c>
      <c r="O60" s="183">
        <v>0.10748451782067645</v>
      </c>
      <c r="P60" s="183">
        <v>690798.98147261143</v>
      </c>
      <c r="Q60" s="183">
        <v>3970.0000017285347</v>
      </c>
      <c r="R60" s="183">
        <v>315254322255.43774</v>
      </c>
      <c r="S60" s="221">
        <v>0</v>
      </c>
    </row>
    <row r="61" spans="4:22">
      <c r="J61" s="182"/>
      <c r="N61" s="220">
        <v>-13.846153846153847</v>
      </c>
      <c r="O61" s="183">
        <v>0.10390435439084186</v>
      </c>
      <c r="P61" s="183">
        <v>701774.93356108665</v>
      </c>
      <c r="Q61" s="183">
        <v>3970.0000011920929</v>
      </c>
      <c r="R61" s="183">
        <v>315254322255.43774</v>
      </c>
      <c r="S61" s="221">
        <v>0</v>
      </c>
    </row>
    <row r="62" spans="4:22">
      <c r="J62" s="182"/>
      <c r="N62" s="220">
        <v>-16.615384615384617</v>
      </c>
      <c r="O62" s="183">
        <v>0.10034126202679057</v>
      </c>
      <c r="P62" s="183">
        <v>712750.97099590302</v>
      </c>
      <c r="Q62" s="183">
        <v>3970.0000005364418</v>
      </c>
      <c r="R62" s="183">
        <v>315254322255.43774</v>
      </c>
      <c r="S62" s="221">
        <v>0</v>
      </c>
    </row>
    <row r="63" spans="4:22">
      <c r="J63" s="182"/>
      <c r="N63" s="220">
        <v>-19.384615384615387</v>
      </c>
      <c r="O63" s="183">
        <v>9.6795507722299126E-2</v>
      </c>
      <c r="P63" s="183">
        <v>723727.09512287378</v>
      </c>
      <c r="Q63" s="183">
        <v>3969.9999983906746</v>
      </c>
      <c r="R63" s="183">
        <v>315254322255.43774</v>
      </c>
      <c r="S63" s="221">
        <v>0</v>
      </c>
    </row>
    <row r="64" spans="4:22">
      <c r="J64" s="182"/>
      <c r="N64" s="220">
        <v>-22.153846153846157</v>
      </c>
      <c r="O64" s="183">
        <v>9.3267358473236556E-2</v>
      </c>
      <c r="P64" s="183">
        <v>734703.30727857351</v>
      </c>
      <c r="Q64" s="183">
        <v>3969.9999985098839</v>
      </c>
      <c r="R64" s="183">
        <v>315254322255.43774</v>
      </c>
      <c r="S64" s="221">
        <v>0</v>
      </c>
    </row>
    <row r="65" spans="3:19">
      <c r="J65" s="182"/>
      <c r="N65" s="220">
        <v>-24.923076923076927</v>
      </c>
      <c r="O65" s="183">
        <v>8.9757081277596809E-2</v>
      </c>
      <c r="P65" s="183">
        <v>745679.60878503323</v>
      </c>
      <c r="Q65" s="183">
        <v>3969.9999996423721</v>
      </c>
      <c r="R65" s="183">
        <v>315254322255.43781</v>
      </c>
      <c r="S65" s="221">
        <v>0</v>
      </c>
    </row>
    <row r="66" spans="3:19">
      <c r="C66" s="293">
        <v>30</v>
      </c>
      <c r="D66" s="294">
        <f>5.5*12</f>
        <v>66</v>
      </c>
      <c r="E66" s="294">
        <f>8.8*12</f>
        <v>105.60000000000001</v>
      </c>
      <c r="F66" s="294">
        <f>10.5*12</f>
        <v>126</v>
      </c>
      <c r="G66" s="295">
        <f>30*12</f>
        <v>360</v>
      </c>
      <c r="J66" s="182"/>
      <c r="N66" s="220">
        <v>-27.692307692307697</v>
      </c>
      <c r="O66" s="183">
        <v>8.6264943135531347E-2</v>
      </c>
      <c r="P66" s="183">
        <v>756656.00098896027</v>
      </c>
      <c r="Q66" s="183">
        <v>3969.9999998211861</v>
      </c>
      <c r="R66" s="183">
        <v>315254322255.43774</v>
      </c>
      <c r="S66" s="221">
        <v>0</v>
      </c>
    </row>
    <row r="67" spans="3:19">
      <c r="C67" s="296">
        <v>6.6600000000000001E-3</v>
      </c>
      <c r="D67" s="297"/>
      <c r="E67" s="297">
        <f>2500/144</f>
        <v>17.361111111111111</v>
      </c>
      <c r="F67" s="297">
        <f>100000/144</f>
        <v>694.44444444444446</v>
      </c>
      <c r="G67" s="298">
        <f>200000/144</f>
        <v>1388.8888888888889</v>
      </c>
      <c r="N67" s="220">
        <v>-30.461538461538467</v>
      </c>
      <c r="O67" s="183">
        <v>8.279121057067515E-2</v>
      </c>
      <c r="P67" s="183">
        <v>767281.85830175877</v>
      </c>
      <c r="Q67" s="183">
        <v>3592.7558837532997</v>
      </c>
      <c r="R67" s="183">
        <v>315254322255.43774</v>
      </c>
      <c r="S67" s="221">
        <v>3244.5406290438236</v>
      </c>
    </row>
    <row r="68" spans="3:19">
      <c r="C68" s="293">
        <v>0</v>
      </c>
      <c r="D68" s="294">
        <v>35</v>
      </c>
      <c r="E68" s="294">
        <v>0</v>
      </c>
      <c r="F68" s="294">
        <v>0</v>
      </c>
      <c r="G68" s="295">
        <v>0</v>
      </c>
      <c r="N68" s="220">
        <v>-33.230769230769234</v>
      </c>
      <c r="O68" s="183">
        <v>7.9336138808015766E-2</v>
      </c>
      <c r="P68" s="183">
        <v>776182.34194052219</v>
      </c>
      <c r="Q68" s="183">
        <v>2847.5462914705276</v>
      </c>
      <c r="R68" s="183">
        <v>315254322255.43774</v>
      </c>
      <c r="S68" s="221">
        <v>3393.9363301193166</v>
      </c>
    </row>
    <row r="69" spans="3:19">
      <c r="C69" s="296">
        <v>7.2337499999999999E-2</v>
      </c>
      <c r="D69" s="297">
        <v>7.2337499999999999E-2</v>
      </c>
      <c r="E69" s="297">
        <v>8.6805000000000007E-2</v>
      </c>
      <c r="F69" s="297">
        <f>150/1728</f>
        <v>8.6805555555555552E-2</v>
      </c>
      <c r="G69" s="298">
        <f>160/1728</f>
        <v>9.2592592592592587E-2</v>
      </c>
      <c r="N69" s="220">
        <v>-36</v>
      </c>
      <c r="O69" s="183">
        <v>7.5899943894168168E-2</v>
      </c>
      <c r="P69" s="183">
        <v>783017.05943083763</v>
      </c>
      <c r="Q69" s="183">
        <v>2100.8470156788826</v>
      </c>
      <c r="R69" s="183">
        <v>315254322255.43774</v>
      </c>
      <c r="S69" s="221">
        <v>3553.1545127718405</v>
      </c>
    </row>
    <row r="70" spans="3:19">
      <c r="C70" s="293">
        <v>1</v>
      </c>
      <c r="D70" s="294">
        <v>1</v>
      </c>
      <c r="E70" s="294">
        <v>0.56999999999999995</v>
      </c>
      <c r="F70" s="294">
        <v>0.06</v>
      </c>
      <c r="G70" s="295">
        <v>0.06</v>
      </c>
      <c r="N70" s="220">
        <v>-38.769230769230766</v>
      </c>
      <c r="O70" s="183">
        <v>7.2482792077533345E-2</v>
      </c>
      <c r="P70" s="183">
        <v>787782.74195176363</v>
      </c>
      <c r="Q70" s="183">
        <v>1353.2812124490738</v>
      </c>
      <c r="R70" s="183">
        <v>315254322255.43774</v>
      </c>
      <c r="S70" s="221">
        <v>3723.3043909953112</v>
      </c>
    </row>
    <row r="71" spans="3:19">
      <c r="C71" s="296">
        <v>0</v>
      </c>
      <c r="D71" s="297">
        <v>3</v>
      </c>
      <c r="E71" s="297">
        <v>2</v>
      </c>
      <c r="F71" s="297">
        <v>2</v>
      </c>
      <c r="G71" s="298">
        <v>2</v>
      </c>
      <c r="N71" s="220">
        <v>-41.538461538461533</v>
      </c>
      <c r="O71" s="183">
        <v>6.9084799280303977E-2</v>
      </c>
      <c r="P71" s="183">
        <v>790477.89046341181</v>
      </c>
      <c r="Q71" s="183">
        <v>605.50466054677963</v>
      </c>
      <c r="R71" s="183">
        <v>315254322255.43774</v>
      </c>
      <c r="S71" s="221">
        <v>3905.6794637277612</v>
      </c>
    </row>
    <row r="72" spans="3:19" ht="15.75" thickBot="1">
      <c r="C72" s="300">
        <v>0</v>
      </c>
      <c r="D72" s="301">
        <v>147</v>
      </c>
      <c r="E72" s="301">
        <v>147</v>
      </c>
      <c r="F72" s="301">
        <v>147</v>
      </c>
      <c r="G72" s="299">
        <v>147</v>
      </c>
      <c r="N72" s="220">
        <v>-44.307692307692299</v>
      </c>
      <c r="O72" s="183">
        <v>6.5706031062196205E-2</v>
      </c>
      <c r="P72" s="183">
        <v>791102.87125271559</v>
      </c>
      <c r="Q72" s="183">
        <v>-141.79036355018616</v>
      </c>
      <c r="R72" s="183">
        <v>315254322255.43774</v>
      </c>
      <c r="S72" s="221">
        <v>4101.7987320485308</v>
      </c>
    </row>
    <row r="73" spans="3:19">
      <c r="N73" s="220">
        <v>-47.076923076923066</v>
      </c>
      <c r="O73" s="183">
        <v>6.2346502629579588E-2</v>
      </c>
      <c r="P73" s="183">
        <v>789660.02310031652</v>
      </c>
      <c r="Q73" s="183">
        <v>-887.87050402164459</v>
      </c>
      <c r="R73" s="183">
        <v>315254322255.43774</v>
      </c>
      <c r="S73" s="221">
        <v>4313.4596960240287</v>
      </c>
    </row>
    <row r="74" spans="3:19">
      <c r="C74" s="182">
        <v>30</v>
      </c>
      <c r="D74" s="182">
        <v>66</v>
      </c>
      <c r="E74" s="182">
        <v>105.60000000000001</v>
      </c>
      <c r="F74" s="182">
        <v>126</v>
      </c>
      <c r="G74" s="182">
        <v>360</v>
      </c>
      <c r="N74" s="220">
        <v>-49.846153846153832</v>
      </c>
      <c r="O74" s="183">
        <v>5.900617889261689E-2</v>
      </c>
      <c r="P74" s="183">
        <v>786153.77829897404</v>
      </c>
      <c r="Q74" s="183">
        <v>-1631.955991268158</v>
      </c>
      <c r="R74" s="183">
        <v>315254322255.43774</v>
      </c>
      <c r="S74" s="221">
        <v>4542.8073066237221</v>
      </c>
    </row>
    <row r="75" spans="3:19">
      <c r="C75" s="182">
        <v>0.01</v>
      </c>
      <c r="E75" s="182">
        <v>17.361111111111111</v>
      </c>
      <c r="F75" s="182">
        <v>694.44444444444446</v>
      </c>
      <c r="G75" s="182">
        <v>1388.8888888888889</v>
      </c>
      <c r="N75" s="220">
        <v>-52.615384615384599</v>
      </c>
      <c r="O75" s="183">
        <v>5.5684974573361232E-2</v>
      </c>
      <c r="P75" s="183">
        <v>780590.79976987839</v>
      </c>
      <c r="Q75" s="183">
        <v>-2373.2142177224159</v>
      </c>
      <c r="R75" s="183">
        <v>315254322255.43774</v>
      </c>
      <c r="S75" s="221">
        <v>4792.4248472794734</v>
      </c>
    </row>
    <row r="76" spans="3:19">
      <c r="C76" s="182">
        <v>0</v>
      </c>
      <c r="D76" s="182">
        <v>35</v>
      </c>
      <c r="E76" s="182">
        <v>0</v>
      </c>
      <c r="F76" s="182">
        <v>0</v>
      </c>
      <c r="G76" s="182">
        <v>0</v>
      </c>
      <c r="N76" s="220">
        <v>-55.384615384615365</v>
      </c>
      <c r="O76" s="183">
        <v>5.2382754368153137E-2</v>
      </c>
      <c r="P76" s="183">
        <v>772980.13762962818</v>
      </c>
      <c r="Q76" s="183">
        <v>-3110.7520868182182</v>
      </c>
      <c r="R76" s="183">
        <v>315254322255.43774</v>
      </c>
      <c r="S76" s="221">
        <v>5065.4554479829731</v>
      </c>
    </row>
    <row r="77" spans="3:19">
      <c r="C77" s="182">
        <v>7.2337499999999999E-2</v>
      </c>
      <c r="D77" s="182">
        <v>7.2337499999999999E-2</v>
      </c>
      <c r="E77" s="182">
        <v>8.6805000000000007E-2</v>
      </c>
      <c r="F77" s="182">
        <v>8.6805555555555552E-2</v>
      </c>
      <c r="G77" s="182">
        <v>9.2592592592592587E-2</v>
      </c>
      <c r="N77" s="220">
        <v>-58.153846153846132</v>
      </c>
      <c r="O77" s="183">
        <v>4.9099333168134307E-2</v>
      </c>
      <c r="P77" s="183">
        <v>763333.40919464827</v>
      </c>
      <c r="Q77" s="183">
        <v>-3843.6066799163818</v>
      </c>
      <c r="R77" s="183">
        <v>315254322255.43774</v>
      </c>
      <c r="S77" s="221">
        <v>5365.767161763948</v>
      </c>
    </row>
    <row r="78" spans="3:19">
      <c r="C78" s="182">
        <v>1</v>
      </c>
      <c r="D78" s="182">
        <v>1</v>
      </c>
      <c r="E78" s="182">
        <v>5.7000000000000002E-2</v>
      </c>
      <c r="F78" s="182">
        <v>6.0000000000000001E-3</v>
      </c>
      <c r="G78" s="182">
        <v>6.0000000000000001E-3</v>
      </c>
      <c r="N78" s="220">
        <v>-60.923076923076898</v>
      </c>
      <c r="O78" s="183">
        <v>4.5834476342266603E-2</v>
      </c>
      <c r="P78" s="183">
        <v>751665.00748732686</v>
      </c>
      <c r="Q78" s="183">
        <v>-4570.7339023351669</v>
      </c>
      <c r="R78" s="183">
        <v>315254322255.43768</v>
      </c>
      <c r="S78" s="221">
        <v>5698.1812397761942</v>
      </c>
    </row>
    <row r="79" spans="3:19">
      <c r="C79" s="182">
        <v>0</v>
      </c>
      <c r="D79" s="182">
        <v>3</v>
      </c>
      <c r="E79" s="182">
        <v>2</v>
      </c>
      <c r="F79" s="182">
        <v>2</v>
      </c>
      <c r="G79" s="182">
        <v>2</v>
      </c>
      <c r="N79" s="220">
        <v>-63.692307692307665</v>
      </c>
      <c r="O79" s="183">
        <v>4.2587900087941791E-2</v>
      </c>
      <c r="P79" s="183">
        <v>737992.34488099813</v>
      </c>
      <c r="Q79" s="183">
        <v>-5290.994326710701</v>
      </c>
      <c r="R79" s="183">
        <v>315254322255.43774</v>
      </c>
      <c r="S79" s="221">
        <v>6068.7941679509859</v>
      </c>
    </row>
    <row r="80" spans="3:19">
      <c r="C80" s="182">
        <v>0</v>
      </c>
      <c r="D80" s="182">
        <v>147</v>
      </c>
      <c r="E80" s="182">
        <v>147</v>
      </c>
      <c r="F80" s="182">
        <v>300</v>
      </c>
      <c r="G80" s="182">
        <v>500</v>
      </c>
      <c r="N80" s="220">
        <v>-66.461538461538439</v>
      </c>
      <c r="O80" s="183">
        <v>3.9359271734962259E-2</v>
      </c>
      <c r="P80" s="183">
        <v>722248.94050064683</v>
      </c>
      <c r="Q80" s="183">
        <v>-6096.3616109490395</v>
      </c>
      <c r="R80" s="183">
        <v>315254322255.43781</v>
      </c>
      <c r="S80" s="221">
        <v>8152.8461538461506</v>
      </c>
    </row>
    <row r="81" spans="14:19">
      <c r="N81" s="220">
        <v>-69.230769230769212</v>
      </c>
      <c r="O81" s="183">
        <v>3.6148207590640732E-2</v>
      </c>
      <c r="P81" s="183">
        <v>704134.12778007984</v>
      </c>
      <c r="Q81" s="183">
        <v>-6969.6766242384911</v>
      </c>
      <c r="R81" s="183">
        <v>315254322255.43774</v>
      </c>
      <c r="S81" s="221">
        <v>8559.9230769230744</v>
      </c>
    </row>
    <row r="82" spans="14:19">
      <c r="N82" s="220">
        <v>-71.999999999999986</v>
      </c>
      <c r="O82" s="183">
        <v>3.2954267068635142E-2</v>
      </c>
      <c r="P82" s="183">
        <v>683648.09782630205</v>
      </c>
      <c r="Q82" s="183">
        <v>-7807.8335047960281</v>
      </c>
      <c r="R82" s="183">
        <v>315254322255.43774</v>
      </c>
      <c r="S82" s="221">
        <v>8966.9999999999982</v>
      </c>
    </row>
    <row r="83" spans="14:19">
      <c r="N83" s="220">
        <v>-74.769230769230759</v>
      </c>
      <c r="O83" s="183">
        <v>2.9776952056637107E-2</v>
      </c>
      <c r="P83" s="183">
        <v>660897.62328249216</v>
      </c>
      <c r="Q83" s="183">
        <v>-8604.0406440496445</v>
      </c>
      <c r="R83" s="183">
        <v>315254322255.43774</v>
      </c>
      <c r="S83" s="221">
        <v>9374.0769230769238</v>
      </c>
    </row>
    <row r="84" spans="14:19">
      <c r="N84" s="220">
        <v>-77.538461538461533</v>
      </c>
      <c r="O84" s="183">
        <v>2.6615709397196805E-2</v>
      </c>
      <c r="P84" s="183">
        <v>636008.22344705462</v>
      </c>
      <c r="Q84" s="183">
        <v>-9351.5495710372925</v>
      </c>
      <c r="R84" s="183">
        <v>315254322255.43774</v>
      </c>
      <c r="S84" s="221">
        <v>9781.1538461538476</v>
      </c>
    </row>
    <row r="85" spans="14:19">
      <c r="N85" s="220">
        <v>-80.307692307692307</v>
      </c>
      <c r="O85" s="183">
        <v>2.3469933940782759E-2</v>
      </c>
      <c r="P85" s="183">
        <v>609124.05013215542</v>
      </c>
      <c r="Q85" s="183">
        <v>-10043.651096582413</v>
      </c>
      <c r="R85" s="183">
        <v>315254322255.43774</v>
      </c>
      <c r="S85" s="221">
        <v>10188.230769230771</v>
      </c>
    </row>
    <row r="86" spans="14:19">
      <c r="N86" s="220">
        <v>-83.07692307692308</v>
      </c>
      <c r="O86" s="183">
        <v>2.0338972052104089E-2</v>
      </c>
      <c r="P86" s="183">
        <v>580407.78448352218</v>
      </c>
      <c r="Q86" s="183">
        <v>-10673.671249449253</v>
      </c>
      <c r="R86" s="183">
        <v>315254322255.43768</v>
      </c>
      <c r="S86" s="221">
        <v>10595.307692307695</v>
      </c>
    </row>
    <row r="87" spans="14:19">
      <c r="N87" s="220">
        <v>-85.846153846153854</v>
      </c>
      <c r="O87" s="183">
        <v>1.7222125567186389E-2</v>
      </c>
      <c r="P87" s="183">
        <v>550040.54528519511</v>
      </c>
      <c r="Q87" s="183">
        <v>-11234.96704685688</v>
      </c>
      <c r="R87" s="183">
        <v>315254322255.43781</v>
      </c>
      <c r="S87" s="221">
        <v>11002.384615384619</v>
      </c>
    </row>
    <row r="88" spans="14:19">
      <c r="N88" s="220">
        <v>-88.615384615384627</v>
      </c>
      <c r="O88" s="183">
        <v>1.4118656198971737E-2</v>
      </c>
      <c r="P88" s="183">
        <v>518221.80918979645</v>
      </c>
      <c r="Q88" s="183">
        <v>-11720.922131538391</v>
      </c>
      <c r="R88" s="183">
        <v>315254322255.43781</v>
      </c>
      <c r="S88" s="221">
        <v>11409.461538461543</v>
      </c>
    </row>
    <row r="89" spans="14:19">
      <c r="N89" s="220">
        <v>-91.384615384615401</v>
      </c>
      <c r="O89" s="183">
        <v>1.1027790389502816E-2</v>
      </c>
      <c r="P89" s="183">
        <v>485169.34315779805</v>
      </c>
      <c r="Q89" s="183">
        <v>-12124.942317545414</v>
      </c>
      <c r="R89" s="183">
        <v>315254322255.43774</v>
      </c>
      <c r="S89" s="221">
        <v>11816.538461538466</v>
      </c>
    </row>
    <row r="90" spans="14:19">
      <c r="N90" s="220">
        <v>-94.153846153846175</v>
      </c>
      <c r="O90" s="183">
        <v>7.9487246070481851E-3</v>
      </c>
      <c r="P90" s="183">
        <v>451119.1493100822</v>
      </c>
      <c r="Q90" s="183">
        <v>-12440.45109629631</v>
      </c>
      <c r="R90" s="183">
        <v>315254322255.43768</v>
      </c>
      <c r="S90" s="221">
        <v>12223.61538461539</v>
      </c>
    </row>
    <row r="91" spans="14:19">
      <c r="N91" s="220">
        <v>-96.923076923076948</v>
      </c>
      <c r="O91" s="183">
        <v>4.8806310868271937E-3</v>
      </c>
      <c r="P91" s="183">
        <v>416325.42223075032</v>
      </c>
      <c r="Q91" s="183">
        <v>-12660.885140240192</v>
      </c>
      <c r="R91" s="183">
        <v>315254322255.43774</v>
      </c>
      <c r="S91" s="221">
        <v>12630.692307692314</v>
      </c>
    </row>
    <row r="92" spans="14:19">
      <c r="N92" s="220">
        <v>-99.692307692307722</v>
      </c>
      <c r="O92" s="183">
        <v>1.8226640142958784E-3</v>
      </c>
      <c r="P92" s="183">
        <v>381060.51865214109</v>
      </c>
      <c r="Q92" s="183">
        <v>-12779.689874887466</v>
      </c>
      <c r="R92" s="183">
        <v>315254322255.43774</v>
      </c>
      <c r="S92" s="221">
        <v>13037.769230769238</v>
      </c>
    </row>
    <row r="93" spans="14:19">
      <c r="N93" s="220">
        <v>-102.4615384615385</v>
      </c>
      <c r="O93" s="183">
        <v>-1.2260338497442418E-3</v>
      </c>
      <c r="P93" s="183">
        <v>345614.93925985694</v>
      </c>
      <c r="Q93" s="183">
        <v>-12790.315160214901</v>
      </c>
      <c r="R93" s="183">
        <v>315254322255.43781</v>
      </c>
      <c r="S93" s="221">
        <v>13444.846153846162</v>
      </c>
    </row>
    <row r="94" spans="14:19">
      <c r="N94" s="220">
        <v>-105.23076923076927</v>
      </c>
      <c r="O94" s="183">
        <v>-4.266324102726462E-3</v>
      </c>
      <c r="P94" s="183">
        <v>310297.25202301145</v>
      </c>
      <c r="Q94" s="183">
        <v>-12686.301238298416</v>
      </c>
      <c r="R94" s="183">
        <v>315254322255.43774</v>
      </c>
      <c r="S94" s="221">
        <v>13832.052131446097</v>
      </c>
    </row>
    <row r="95" spans="14:19">
      <c r="N95" s="220">
        <v>-108.00000000000004</v>
      </c>
      <c r="O95" s="183">
        <v>-7.2990651996349843E-3</v>
      </c>
      <c r="P95" s="183">
        <v>275430.04580330849</v>
      </c>
      <c r="Q95" s="183">
        <v>-12465.567178666592</v>
      </c>
      <c r="R95" s="183">
        <v>315254322255.43774</v>
      </c>
      <c r="S95" s="221">
        <v>13741.469615817807</v>
      </c>
    </row>
    <row r="96" spans="14:19">
      <c r="N96" s="220">
        <v>-110.76923076923082</v>
      </c>
      <c r="O96" s="183">
        <v>-1.0325104649621783E-2</v>
      </c>
      <c r="P96" s="183">
        <v>241331.59256663918</v>
      </c>
      <c r="Q96" s="183">
        <v>-12131.424772202969</v>
      </c>
      <c r="R96" s="183">
        <v>315254322255.43781</v>
      </c>
      <c r="S96" s="221">
        <v>13647.88007535</v>
      </c>
    </row>
    <row r="97" spans="14:19">
      <c r="N97" s="220">
        <v>-113.53846153846159</v>
      </c>
      <c r="O97" s="183">
        <v>-1.3345271274991244E-2</v>
      </c>
      <c r="P97" s="183">
        <v>208313.35046520829</v>
      </c>
      <c r="Q97" s="183">
        <v>-11685.752121418715</v>
      </c>
      <c r="R97" s="183">
        <v>315254322255.43774</v>
      </c>
      <c r="S97" s="221">
        <v>13551.307163036772</v>
      </c>
    </row>
    <row r="98" spans="14:19">
      <c r="N98" s="220">
        <v>-116.30769230769236</v>
      </c>
      <c r="O98" s="183">
        <v>-1.6360367632246301E-2</v>
      </c>
      <c r="P98" s="183">
        <v>176681.52342841029</v>
      </c>
      <c r="Q98" s="183">
        <v>-11130.466043382883</v>
      </c>
      <c r="R98" s="183">
        <v>315254322255.43774</v>
      </c>
      <c r="S98" s="221">
        <v>13451.776606510699</v>
      </c>
    </row>
    <row r="99" spans="14:19">
      <c r="N99" s="220">
        <v>-119.07692307692314</v>
      </c>
      <c r="O99" s="183">
        <v>-1.9371162563823287E-2</v>
      </c>
      <c r="P99" s="183">
        <v>146736.95298343897</v>
      </c>
      <c r="Q99" s="183">
        <v>-10467.522838205099</v>
      </c>
      <c r="R99" s="183">
        <v>315254322255.43774</v>
      </c>
      <c r="S99" s="221">
        <v>13349.317057507096</v>
      </c>
    </row>
    <row r="100" spans="14:19">
      <c r="N100" s="220">
        <v>-121.84615384615391</v>
      </c>
      <c r="O100" s="183">
        <v>-2.2378383880273946E-2</v>
      </c>
      <c r="P100" s="183">
        <v>118775.0076995492</v>
      </c>
      <c r="Q100" s="183">
        <v>-9698.9191999733448</v>
      </c>
      <c r="R100" s="183">
        <v>315254322255.43774</v>
      </c>
      <c r="S100" s="221">
        <v>13243.960939977396</v>
      </c>
    </row>
    <row r="101" spans="14:19">
      <c r="N101" s="220">
        <v>-124.61538461538468</v>
      </c>
      <c r="O101" s="183">
        <v>-2.5382711175584119E-2</v>
      </c>
      <c r="P101" s="183">
        <v>93085.470009088516</v>
      </c>
      <c r="Q101" s="183">
        <v>-8826.6932128965855</v>
      </c>
      <c r="R101" s="183">
        <v>315254322255.43774</v>
      </c>
      <c r="S101" s="221">
        <v>13135.745293542239</v>
      </c>
    </row>
    <row r="102" spans="14:19">
      <c r="N102" s="220">
        <v>-127.38461538461546</v>
      </c>
      <c r="O102" s="183">
        <v>-2.8384768778382852E-2</v>
      </c>
      <c r="P102" s="183">
        <v>69952.420210689306</v>
      </c>
      <c r="Q102" s="183">
        <v>-7852.9253672063351</v>
      </c>
      <c r="R102" s="183">
        <v>315254322255.43774</v>
      </c>
      <c r="S102" s="221">
        <v>13024.712608861222</v>
      </c>
    </row>
    <row r="103" spans="14:19">
      <c r="N103" s="220">
        <v>-130.15384615384622</v>
      </c>
      <c r="O103" s="183">
        <v>-3.1385118841863298E-2</v>
      </c>
      <c r="P103" s="183">
        <v>49654.117731839418</v>
      </c>
      <c r="Q103" s="183">
        <v>-6779.7395167946815</v>
      </c>
      <c r="R103" s="183">
        <v>315254322255.43774</v>
      </c>
      <c r="S103" s="221">
        <v>12910.911651379949</v>
      </c>
    </row>
    <row r="104" spans="14:19">
      <c r="N104" s="220">
        <v>-132.92307692307699</v>
      </c>
      <c r="O104" s="183">
        <v>-3.438425457530337E-2</v>
      </c>
      <c r="P104" s="183">
        <v>32462.879856914282</v>
      </c>
      <c r="Q104" s="288">
        <v>-5609.3037214577198</v>
      </c>
      <c r="R104" s="183">
        <v>315254322255.43774</v>
      </c>
      <c r="S104" s="221">
        <v>12794.398269797353</v>
      </c>
    </row>
    <row r="105" spans="14:19">
      <c r="N105" s="220">
        <v>-135.69230769230776</v>
      </c>
      <c r="O105" s="183">
        <v>-3.7382593620134935E-2</v>
      </c>
      <c r="P105" s="183">
        <v>18644.958378434181</v>
      </c>
      <c r="Q105" s="183">
        <v>-4343.8309375047684</v>
      </c>
      <c r="R105" s="183">
        <v>315254322255.43774</v>
      </c>
      <c r="S105" s="221">
        <v>12675.236185481066</v>
      </c>
    </row>
    <row r="106" spans="14:19">
      <c r="N106" s="220">
        <v>-138.46153846153854</v>
      </c>
      <c r="O106" s="183">
        <v>-4.0380471573561588E-2</v>
      </c>
      <c r="P106" s="183">
        <v>8460.4146493971348</v>
      </c>
      <c r="Q106" s="183">
        <v>-2985.579408377409</v>
      </c>
      <c r="R106" s="183">
        <v>315254322255.43781</v>
      </c>
      <c r="S106" s="221">
        <v>12553.497758947109</v>
      </c>
    </row>
    <row r="107" spans="14:19">
      <c r="N107" s="220">
        <v>-141.23076923076931</v>
      </c>
      <c r="O107" s="183">
        <v>-4.337813566276183E-2</v>
      </c>
      <c r="P107" s="183">
        <v>2162.99396276474</v>
      </c>
      <c r="Q107" s="183">
        <v>-1536.8528141081333</v>
      </c>
      <c r="R107" s="183">
        <v>315254322255.43781</v>
      </c>
      <c r="S107" s="221">
        <v>12429.264729416898</v>
      </c>
    </row>
    <row r="108" spans="14:19">
      <c r="N108" s="220">
        <v>-144.00000000000009</v>
      </c>
      <c r="O108" s="183">
        <v>-4.6375738572732521E-2</v>
      </c>
      <c r="P108" s="183">
        <v>-14.981433808803558</v>
      </c>
      <c r="Q108" s="183">
        <v>-1.4901161193847656E-7</v>
      </c>
      <c r="R108" s="183">
        <v>315254322255.44403</v>
      </c>
      <c r="S108" s="221">
        <v>12302.628923371665</v>
      </c>
    </row>
    <row r="109" spans="14:19">
      <c r="N109" s="220"/>
      <c r="S109" s="221"/>
    </row>
    <row r="110" spans="14:19">
      <c r="N110" s="220"/>
      <c r="S110" s="221"/>
    </row>
    <row r="111" spans="14:19">
      <c r="N111" s="220"/>
      <c r="S111" s="221"/>
    </row>
    <row r="112" spans="14:19">
      <c r="N112" s="220"/>
      <c r="S112" s="221"/>
    </row>
    <row r="113" spans="14:19">
      <c r="N113" s="220"/>
      <c r="S113" s="221"/>
    </row>
    <row r="114" spans="14:19">
      <c r="N114" s="220"/>
      <c r="S114" s="221"/>
    </row>
    <row r="115" spans="14:19" ht="15.75" thickBot="1">
      <c r="N115" s="222"/>
      <c r="O115" s="268"/>
      <c r="P115" s="268"/>
      <c r="Q115" s="268"/>
      <c r="R115" s="268"/>
      <c r="S115" s="264"/>
    </row>
    <row r="116" spans="14:19">
      <c r="P116" s="183">
        <f>MAX(P56:P107)/12000</f>
        <v>65.925239271059638</v>
      </c>
      <c r="Q116" s="183">
        <f>MIN(Q56:Q107)</f>
        <v>-12790.315160214901</v>
      </c>
    </row>
  </sheetData>
  <mergeCells count="1">
    <mergeCell ref="O39:P39"/>
  </mergeCells>
  <phoneticPr fontId="38" type="noConversion"/>
  <hyperlinks>
    <hyperlink ref="H2" r:id="rId1" xr:uid="{161D75B5-FB79-4070-B6D9-D257E6822C5D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H95"/>
  <sheetViews>
    <sheetView topLeftCell="A38" workbookViewId="0">
      <selection activeCell="D76" sqref="D75:D76"/>
    </sheetView>
  </sheetViews>
  <sheetFormatPr defaultRowHeight="12.75"/>
  <cols>
    <col min="1" max="1" width="3.28515625" customWidth="1"/>
    <col min="2" max="2" width="26" customWidth="1"/>
    <col min="3" max="3" width="23.5703125" bestFit="1" customWidth="1"/>
    <col min="4" max="4" width="18.140625" customWidth="1"/>
    <col min="5" max="5" width="16.42578125" bestFit="1" customWidth="1"/>
    <col min="6" max="6" width="16.28515625" bestFit="1" customWidth="1"/>
    <col min="7" max="7" width="17.28515625" customWidth="1"/>
    <col min="8" max="10" width="14.5703125" customWidth="1"/>
  </cols>
  <sheetData>
    <row r="1" spans="2:7" ht="15">
      <c r="B1" s="5" t="s">
        <v>48</v>
      </c>
    </row>
    <row r="2" spans="2:7">
      <c r="B2" s="35"/>
    </row>
    <row r="3" spans="2:7" ht="15">
      <c r="B3" s="5" t="s">
        <v>51</v>
      </c>
    </row>
    <row r="4" spans="2:7">
      <c r="B4" s="2" t="s">
        <v>47</v>
      </c>
    </row>
    <row r="5" spans="2:7">
      <c r="B5" s="6" t="s">
        <v>165</v>
      </c>
    </row>
    <row r="6" spans="2:7">
      <c r="B6" s="69" t="s">
        <v>93</v>
      </c>
    </row>
    <row r="7" spans="2:7" ht="15">
      <c r="B7" s="21" t="s">
        <v>0</v>
      </c>
    </row>
    <row r="8" spans="2:7" ht="15">
      <c r="B8" s="21"/>
    </row>
    <row r="9" spans="2:7">
      <c r="B9" s="177" t="s">
        <v>34</v>
      </c>
      <c r="C9" s="178" t="s">
        <v>182</v>
      </c>
      <c r="D9" s="179"/>
      <c r="E9" s="179"/>
      <c r="F9" s="179"/>
      <c r="G9" s="180"/>
    </row>
    <row r="10" spans="2:7">
      <c r="B10" s="58" t="s">
        <v>35</v>
      </c>
      <c r="C10" s="181" t="s">
        <v>94</v>
      </c>
      <c r="D10" s="59"/>
      <c r="E10" s="59"/>
      <c r="F10" s="59"/>
      <c r="G10" s="22"/>
    </row>
    <row r="11" spans="2:7">
      <c r="B11" s="65"/>
      <c r="C11" s="107" t="s">
        <v>95</v>
      </c>
      <c r="D11" s="64"/>
      <c r="E11" s="64"/>
      <c r="F11" s="64"/>
      <c r="G11" s="23"/>
    </row>
    <row r="12" spans="2:7">
      <c r="B12" s="58" t="s">
        <v>98</v>
      </c>
      <c r="C12" s="30" t="s">
        <v>183</v>
      </c>
      <c r="D12" s="59"/>
      <c r="E12" s="59"/>
      <c r="F12" s="59"/>
      <c r="G12" s="22"/>
    </row>
    <row r="13" spans="2:7">
      <c r="B13" s="61"/>
      <c r="C13" s="3" t="s">
        <v>209</v>
      </c>
      <c r="G13" s="7"/>
    </row>
    <row r="14" spans="2:7">
      <c r="B14" s="65"/>
      <c r="C14" s="176" t="s">
        <v>210</v>
      </c>
      <c r="D14" s="64"/>
      <c r="E14" s="64"/>
      <c r="F14" s="64"/>
      <c r="G14" s="23"/>
    </row>
    <row r="15" spans="2:7">
      <c r="B15" s="58" t="s">
        <v>99</v>
      </c>
      <c r="C15" s="30" t="s">
        <v>179</v>
      </c>
      <c r="D15" s="59"/>
      <c r="E15" s="59"/>
      <c r="F15" s="59"/>
      <c r="G15" s="22"/>
    </row>
    <row r="16" spans="2:7">
      <c r="B16" s="61"/>
      <c r="C16" s="3" t="s">
        <v>96</v>
      </c>
      <c r="G16" s="7"/>
    </row>
    <row r="17" spans="2:8">
      <c r="B17" s="61"/>
      <c r="C17" s="3" t="s">
        <v>50</v>
      </c>
      <c r="G17" s="7"/>
    </row>
    <row r="18" spans="2:8">
      <c r="B18" s="62"/>
      <c r="C18" s="1" t="s">
        <v>97</v>
      </c>
      <c r="G18" s="7"/>
    </row>
    <row r="19" spans="2:8">
      <c r="B19" s="31"/>
      <c r="C19" s="107" t="s">
        <v>107</v>
      </c>
      <c r="D19" s="64"/>
      <c r="E19" s="64"/>
      <c r="F19" s="64"/>
      <c r="G19" s="23"/>
    </row>
    <row r="20" spans="2:8">
      <c r="B20" s="70" t="s">
        <v>100</v>
      </c>
      <c r="C20" s="1"/>
    </row>
    <row r="21" spans="2:8">
      <c r="B21" s="1" t="s">
        <v>101</v>
      </c>
      <c r="C21" s="1" t="s">
        <v>180</v>
      </c>
    </row>
    <row r="22" spans="2:8">
      <c r="C22" s="1" t="s">
        <v>102</v>
      </c>
    </row>
    <row r="23" spans="2:8">
      <c r="B23" s="1" t="s">
        <v>103</v>
      </c>
      <c r="C23" s="1" t="s">
        <v>104</v>
      </c>
    </row>
    <row r="24" spans="2:8">
      <c r="B24" s="1" t="s">
        <v>105</v>
      </c>
      <c r="C24" s="1" t="s">
        <v>181</v>
      </c>
      <c r="F24" s="1"/>
    </row>
    <row r="25" spans="2:8">
      <c r="C25" s="1" t="s">
        <v>106</v>
      </c>
    </row>
    <row r="26" spans="2:8">
      <c r="C26" s="1"/>
    </row>
    <row r="27" spans="2:8">
      <c r="B27" s="1" t="s">
        <v>164</v>
      </c>
      <c r="C27" s="3" t="s">
        <v>166</v>
      </c>
    </row>
    <row r="28" spans="2:8">
      <c r="B28" s="1"/>
      <c r="C28" s="3" t="s">
        <v>167</v>
      </c>
    </row>
    <row r="30" spans="2:8">
      <c r="B30" s="35" t="s">
        <v>36</v>
      </c>
      <c r="C30" s="2" t="s">
        <v>49</v>
      </c>
      <c r="H30" s="1"/>
    </row>
    <row r="31" spans="2:8">
      <c r="B31" s="1"/>
      <c r="C31" s="2" t="s">
        <v>39</v>
      </c>
    </row>
    <row r="32" spans="2:8">
      <c r="B32" s="1"/>
      <c r="C32" s="2" t="s">
        <v>40</v>
      </c>
    </row>
    <row r="33" spans="2:8">
      <c r="B33" s="1"/>
      <c r="C33" s="2"/>
    </row>
    <row r="34" spans="2:8">
      <c r="B34" s="35" t="s">
        <v>146</v>
      </c>
      <c r="C34" s="2" t="s">
        <v>147</v>
      </c>
    </row>
    <row r="35" spans="2:8">
      <c r="B35" s="35"/>
      <c r="C35" s="2" t="s">
        <v>148</v>
      </c>
    </row>
    <row r="36" spans="2:8">
      <c r="B36" s="35"/>
      <c r="C36" s="2" t="s">
        <v>156</v>
      </c>
    </row>
    <row r="37" spans="2:8">
      <c r="B37" s="35"/>
      <c r="C37" s="2" t="s">
        <v>155</v>
      </c>
    </row>
    <row r="38" spans="2:8">
      <c r="B38" s="35"/>
      <c r="C38" s="2"/>
    </row>
    <row r="39" spans="2:8">
      <c r="B39" s="35" t="s">
        <v>149</v>
      </c>
      <c r="C39" s="2" t="s">
        <v>158</v>
      </c>
    </row>
    <row r="40" spans="2:8">
      <c r="B40" s="35"/>
      <c r="C40" s="2" t="s">
        <v>150</v>
      </c>
    </row>
    <row r="41" spans="2:8">
      <c r="B41" s="35"/>
      <c r="C41" s="2" t="s">
        <v>157</v>
      </c>
    </row>
    <row r="42" spans="2:8">
      <c r="B42" s="35"/>
      <c r="C42" s="2" t="s">
        <v>152</v>
      </c>
    </row>
    <row r="43" spans="2:8">
      <c r="B43" s="1"/>
      <c r="C43" s="103" t="s">
        <v>153</v>
      </c>
    </row>
    <row r="44" spans="2:8">
      <c r="B44" s="1"/>
      <c r="C44" s="103" t="s">
        <v>154</v>
      </c>
    </row>
    <row r="45" spans="2:8">
      <c r="B45" s="1"/>
      <c r="C45" s="103"/>
    </row>
    <row r="46" spans="2:8">
      <c r="B46" s="1"/>
      <c r="C46" s="103"/>
    </row>
    <row r="47" spans="2:8" ht="15">
      <c r="B47" s="5" t="s">
        <v>32</v>
      </c>
      <c r="C47" s="1"/>
      <c r="H47" s="3"/>
    </row>
    <row r="48" spans="2:8">
      <c r="B48" s="6" t="s">
        <v>184</v>
      </c>
    </row>
    <row r="49" spans="2:4">
      <c r="B49" s="6" t="s">
        <v>27</v>
      </c>
      <c r="D49" s="1" t="s">
        <v>28</v>
      </c>
    </row>
    <row r="50" spans="2:4">
      <c r="B50" s="6"/>
      <c r="D50" s="1" t="s">
        <v>29</v>
      </c>
    </row>
    <row r="51" spans="2:4">
      <c r="B51" s="6"/>
      <c r="D51" s="1" t="s">
        <v>30</v>
      </c>
    </row>
    <row r="52" spans="2:4">
      <c r="B52" s="6"/>
      <c r="D52" s="1" t="s">
        <v>31</v>
      </c>
    </row>
    <row r="53" spans="2:4">
      <c r="B53" s="27" t="s">
        <v>173</v>
      </c>
      <c r="C53" s="30" t="s">
        <v>142</v>
      </c>
      <c r="D53" s="22"/>
    </row>
    <row r="54" spans="2:4">
      <c r="B54" s="24" t="s">
        <v>174</v>
      </c>
      <c r="C54" s="1" t="s">
        <v>143</v>
      </c>
      <c r="D54" s="7"/>
    </row>
    <row r="55" spans="2:4">
      <c r="B55" s="24" t="s">
        <v>175</v>
      </c>
      <c r="C55" s="1" t="s">
        <v>144</v>
      </c>
      <c r="D55" s="7"/>
    </row>
    <row r="56" spans="2:4">
      <c r="B56" s="24" t="s">
        <v>176</v>
      </c>
      <c r="C56" s="2" t="s">
        <v>145</v>
      </c>
      <c r="D56" s="7"/>
    </row>
    <row r="57" spans="2:4" ht="14.25">
      <c r="B57" s="24" t="s">
        <v>177</v>
      </c>
      <c r="C57" s="2" t="s">
        <v>87</v>
      </c>
      <c r="D57" s="7"/>
    </row>
    <row r="58" spans="2:4" ht="14.25">
      <c r="B58" s="24" t="s">
        <v>178</v>
      </c>
      <c r="C58" s="2" t="s">
        <v>188</v>
      </c>
      <c r="D58" s="7"/>
    </row>
    <row r="59" spans="2:4">
      <c r="B59" s="26"/>
      <c r="C59" s="31"/>
      <c r="D59" s="23"/>
    </row>
    <row r="62" spans="2:4" ht="15">
      <c r="B62" s="5" t="s">
        <v>189</v>
      </c>
    </row>
    <row r="63" spans="2:4">
      <c r="B63" s="35"/>
    </row>
    <row r="64" spans="2:4" ht="15">
      <c r="B64" s="5" t="s">
        <v>190</v>
      </c>
    </row>
    <row r="65" spans="2:3">
      <c r="B65" s="2" t="s">
        <v>191</v>
      </c>
    </row>
    <row r="66" spans="2:3">
      <c r="B66" s="6" t="s">
        <v>192</v>
      </c>
    </row>
    <row r="67" spans="2:3">
      <c r="B67" s="69" t="s">
        <v>93</v>
      </c>
    </row>
    <row r="68" spans="2:3" ht="15">
      <c r="B68" s="21" t="s">
        <v>0</v>
      </c>
    </row>
    <row r="69" spans="2:3" ht="15">
      <c r="B69" s="21"/>
    </row>
    <row r="70" spans="2:3">
      <c r="B70" s="1" t="s">
        <v>193</v>
      </c>
      <c r="C70" s="2" t="s">
        <v>195</v>
      </c>
    </row>
    <row r="71" spans="2:3">
      <c r="B71" s="1" t="s">
        <v>194</v>
      </c>
      <c r="C71" s="2" t="s">
        <v>196</v>
      </c>
    </row>
    <row r="72" spans="2:3">
      <c r="B72" s="1" t="s">
        <v>35</v>
      </c>
      <c r="C72" s="2" t="s">
        <v>196</v>
      </c>
    </row>
    <row r="73" spans="2:3">
      <c r="B73" s="1" t="s">
        <v>199</v>
      </c>
      <c r="C73" s="2" t="s">
        <v>200</v>
      </c>
    </row>
    <row r="74" spans="2:3">
      <c r="C74" s="1"/>
    </row>
    <row r="75" spans="2:3">
      <c r="B75" s="70" t="s">
        <v>100</v>
      </c>
      <c r="C75" s="1"/>
    </row>
    <row r="76" spans="2:3">
      <c r="C76" s="1"/>
    </row>
    <row r="77" spans="2:3">
      <c r="B77" s="1" t="s">
        <v>164</v>
      </c>
      <c r="C77" s="2" t="s">
        <v>196</v>
      </c>
    </row>
    <row r="78" spans="2:3">
      <c r="B78" s="1"/>
      <c r="C78" s="3"/>
    </row>
    <row r="79" spans="2:3" ht="15">
      <c r="B79" s="5" t="s">
        <v>32</v>
      </c>
    </row>
    <row r="80" spans="2:3">
      <c r="B80" s="6" t="s">
        <v>197</v>
      </c>
    </row>
    <row r="81" spans="2:3">
      <c r="B81" s="2" t="s">
        <v>198</v>
      </c>
    </row>
    <row r="84" spans="2:3" ht="15">
      <c r="B84" s="5" t="s">
        <v>201</v>
      </c>
    </row>
    <row r="85" spans="2:3">
      <c r="B85" s="2" t="s">
        <v>202</v>
      </c>
    </row>
    <row r="86" spans="2:3">
      <c r="B86" s="6" t="s">
        <v>203</v>
      </c>
    </row>
    <row r="87" spans="2:3">
      <c r="B87" s="69" t="s">
        <v>93</v>
      </c>
    </row>
    <row r="88" spans="2:3" ht="15">
      <c r="B88" s="21" t="s">
        <v>0</v>
      </c>
    </row>
    <row r="89" spans="2:3" ht="15">
      <c r="B89" s="21"/>
    </row>
    <row r="90" spans="2:3">
      <c r="B90" s="1" t="s">
        <v>193</v>
      </c>
      <c r="C90" s="1" t="s">
        <v>204</v>
      </c>
    </row>
    <row r="91" spans="2:3">
      <c r="B91" s="1" t="s">
        <v>205</v>
      </c>
      <c r="C91" s="1" t="s">
        <v>206</v>
      </c>
    </row>
    <row r="92" spans="2:3">
      <c r="B92" s="153" t="s">
        <v>207</v>
      </c>
      <c r="C92" s="1" t="s">
        <v>196</v>
      </c>
    </row>
    <row r="94" spans="2:3" ht="15">
      <c r="B94" s="5" t="s">
        <v>32</v>
      </c>
    </row>
    <row r="95" spans="2:3">
      <c r="B95" s="2" t="s">
        <v>208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225"/>
  <sheetViews>
    <sheetView topLeftCell="A12" workbookViewId="0">
      <selection activeCell="H76" sqref="H76"/>
    </sheetView>
  </sheetViews>
  <sheetFormatPr defaultRowHeight="12.75"/>
  <cols>
    <col min="1" max="1" width="9.28515625" bestFit="1" customWidth="1"/>
    <col min="2" max="2" width="26" customWidth="1"/>
    <col min="3" max="3" width="23.5703125" bestFit="1" customWidth="1"/>
    <col min="4" max="4" width="18.140625" customWidth="1"/>
    <col min="5" max="5" width="16.42578125" bestFit="1" customWidth="1"/>
    <col min="6" max="6" width="16.28515625" bestFit="1" customWidth="1"/>
    <col min="7" max="7" width="11" customWidth="1"/>
    <col min="8" max="14" width="14.5703125" customWidth="1"/>
    <col min="15" max="15" width="13.7109375" bestFit="1" customWidth="1"/>
    <col min="16" max="16" width="13.5703125" bestFit="1" customWidth="1"/>
    <col min="17" max="17" width="13" bestFit="1" customWidth="1"/>
    <col min="18" max="18" width="11.5703125" bestFit="1" customWidth="1"/>
    <col min="19" max="20" width="11.28515625" bestFit="1" customWidth="1"/>
    <col min="21" max="21" width="11.7109375" bestFit="1" customWidth="1"/>
    <col min="22" max="22" width="11.28515625" bestFit="1" customWidth="1"/>
    <col min="23" max="23" width="13.5703125" bestFit="1" customWidth="1"/>
    <col min="24" max="24" width="13.7109375" bestFit="1" customWidth="1"/>
    <col min="28" max="28" width="9.5703125" bestFit="1" customWidth="1"/>
    <col min="32" max="32" width="10.42578125" customWidth="1"/>
    <col min="34" max="34" width="10.85546875" customWidth="1"/>
  </cols>
  <sheetData>
    <row r="1" spans="2:34">
      <c r="J1" s="1"/>
      <c r="O1" s="46"/>
      <c r="P1" s="47"/>
      <c r="Q1" s="46"/>
      <c r="R1" s="46"/>
      <c r="S1" s="46"/>
      <c r="T1" s="46"/>
      <c r="U1" s="46"/>
      <c r="V1" s="46"/>
      <c r="W1" s="46"/>
      <c r="X1" s="46"/>
      <c r="Z1" s="4"/>
      <c r="AA1" s="4"/>
      <c r="AB1" s="4"/>
      <c r="AC1" s="4"/>
      <c r="AD1" s="4"/>
      <c r="AE1" s="4"/>
      <c r="AF1" s="4"/>
      <c r="AG1" s="4"/>
      <c r="AH1" s="4"/>
    </row>
    <row r="2" spans="2:34">
      <c r="B2" s="6" t="s">
        <v>238</v>
      </c>
      <c r="I2" s="121"/>
      <c r="O2" s="46"/>
      <c r="P2" s="47"/>
      <c r="Q2" s="46"/>
      <c r="R2" s="46"/>
      <c r="S2" s="46"/>
      <c r="V2" s="46"/>
      <c r="W2" s="46"/>
      <c r="X2" s="46"/>
      <c r="Z2" s="4"/>
      <c r="AA2" s="4"/>
      <c r="AB2" s="4"/>
      <c r="AC2" s="4"/>
      <c r="AD2" s="4"/>
      <c r="AE2" s="4"/>
      <c r="AF2" s="4"/>
      <c r="AG2" s="4"/>
      <c r="AH2" s="4"/>
    </row>
    <row r="3" spans="2:34">
      <c r="B3" s="304" t="s">
        <v>44</v>
      </c>
      <c r="C3" s="305"/>
      <c r="D3" s="304" t="s">
        <v>35</v>
      </c>
      <c r="E3" s="305"/>
      <c r="I3" s="121"/>
      <c r="O3" s="46"/>
      <c r="P3" s="47"/>
      <c r="Q3" s="46"/>
      <c r="R3" s="46"/>
      <c r="S3" s="46"/>
      <c r="V3" s="46"/>
      <c r="W3" s="46"/>
      <c r="X3" s="46"/>
      <c r="Z3" s="4"/>
      <c r="AA3" s="4"/>
      <c r="AB3" s="4"/>
      <c r="AC3" s="4"/>
      <c r="AD3" s="4"/>
      <c r="AE3" s="4"/>
      <c r="AF3" s="4"/>
      <c r="AG3" s="4"/>
      <c r="AH3" s="4"/>
    </row>
    <row r="4" spans="2:34">
      <c r="B4" s="36" t="s">
        <v>38</v>
      </c>
      <c r="C4" s="34" t="s">
        <v>43</v>
      </c>
      <c r="D4" s="29" t="s">
        <v>41</v>
      </c>
      <c r="E4" s="29" t="s">
        <v>239</v>
      </c>
      <c r="I4" s="121"/>
      <c r="O4" s="46"/>
      <c r="P4" s="47"/>
      <c r="Q4" s="46"/>
      <c r="R4" s="46"/>
      <c r="S4" s="46"/>
      <c r="V4" s="46"/>
      <c r="W4" s="46"/>
      <c r="X4" s="46"/>
    </row>
    <row r="5" spans="2:34">
      <c r="B5" s="39">
        <f>10*12</f>
        <v>120</v>
      </c>
      <c r="C5" s="40">
        <v>10</v>
      </c>
      <c r="D5" s="24" t="s">
        <v>45</v>
      </c>
      <c r="E5" s="110">
        <v>50750</v>
      </c>
      <c r="I5" s="121"/>
    </row>
    <row r="6" spans="2:34">
      <c r="B6" s="38"/>
      <c r="C6" s="41"/>
      <c r="D6" s="24" t="s">
        <v>42</v>
      </c>
      <c r="E6" s="38">
        <v>110833.33333333333</v>
      </c>
      <c r="I6" s="121"/>
      <c r="Q6" s="8"/>
      <c r="R6" s="8"/>
      <c r="S6" s="8"/>
      <c r="V6" s="8"/>
      <c r="W6" s="8"/>
      <c r="X6" s="8"/>
    </row>
    <row r="7" spans="2:34">
      <c r="B7" s="38"/>
      <c r="C7" s="41"/>
      <c r="D7" s="24" t="s">
        <v>80</v>
      </c>
      <c r="E7" s="38">
        <v>100000</v>
      </c>
      <c r="I7" s="121"/>
      <c r="R7" s="8"/>
      <c r="S7" s="8"/>
      <c r="V7" s="8"/>
      <c r="W7" s="8"/>
      <c r="X7" s="8"/>
    </row>
    <row r="8" spans="2:34">
      <c r="B8" s="38"/>
      <c r="C8" s="41"/>
      <c r="D8" s="24" t="s">
        <v>81</v>
      </c>
      <c r="E8" s="38">
        <v>100000</v>
      </c>
      <c r="I8" s="121"/>
      <c r="Q8" s="8"/>
      <c r="R8" s="8"/>
      <c r="S8" s="8"/>
      <c r="V8" s="8"/>
      <c r="W8" s="8"/>
      <c r="X8" s="8"/>
    </row>
    <row r="9" spans="2:34">
      <c r="B9" s="38"/>
      <c r="C9" s="41"/>
      <c r="D9" s="24" t="s">
        <v>162</v>
      </c>
      <c r="E9" s="38"/>
      <c r="Q9" s="8"/>
      <c r="R9" s="8"/>
      <c r="S9" s="8"/>
      <c r="V9" s="8"/>
      <c r="W9" s="8"/>
      <c r="X9" s="8"/>
    </row>
    <row r="10" spans="2:34">
      <c r="B10" s="38"/>
      <c r="C10" s="41"/>
      <c r="D10" s="24" t="s">
        <v>78</v>
      </c>
      <c r="E10" s="38">
        <v>1</v>
      </c>
      <c r="O10" s="8"/>
      <c r="P10" s="8"/>
      <c r="Q10" s="8"/>
      <c r="R10" s="8"/>
      <c r="S10" s="8"/>
      <c r="V10" s="8"/>
      <c r="W10" s="8"/>
      <c r="X10" s="8"/>
    </row>
    <row r="11" spans="2:34">
      <c r="B11" s="38"/>
      <c r="C11" s="41"/>
      <c r="D11" s="24" t="s">
        <v>79</v>
      </c>
      <c r="E11" s="38">
        <v>600</v>
      </c>
      <c r="O11" s="8"/>
      <c r="Q11" s="8"/>
      <c r="R11" s="8"/>
      <c r="S11" s="8"/>
      <c r="V11" s="8"/>
      <c r="W11" s="8"/>
      <c r="X11" s="8"/>
    </row>
    <row r="12" spans="2:34">
      <c r="B12" s="28"/>
      <c r="C12" s="37"/>
      <c r="D12" s="28"/>
      <c r="E12" s="28"/>
    </row>
    <row r="13" spans="2:34">
      <c r="B13" s="1" t="s">
        <v>108</v>
      </c>
      <c r="C13" s="8"/>
    </row>
    <row r="14" spans="2:34">
      <c r="B14" s="1" t="s">
        <v>109</v>
      </c>
      <c r="C14" s="8"/>
    </row>
    <row r="15" spans="2:34">
      <c r="B15" s="1" t="s">
        <v>110</v>
      </c>
      <c r="C15" s="8"/>
    </row>
    <row r="16" spans="2:34">
      <c r="B16" s="1" t="s">
        <v>111</v>
      </c>
      <c r="I16" s="4"/>
      <c r="R16" s="8"/>
    </row>
    <row r="17" spans="2:26">
      <c r="B17" s="1" t="s">
        <v>112</v>
      </c>
      <c r="R17" s="8"/>
    </row>
    <row r="18" spans="2:26">
      <c r="R18" s="8"/>
    </row>
    <row r="19" spans="2:26">
      <c r="B19" s="35" t="s">
        <v>58</v>
      </c>
      <c r="R19" s="8"/>
    </row>
    <row r="20" spans="2:26">
      <c r="B20" s="58" t="s">
        <v>59</v>
      </c>
      <c r="C20" s="59"/>
      <c r="D20" s="122">
        <v>30</v>
      </c>
      <c r="E20" s="135">
        <v>200</v>
      </c>
      <c r="F20" s="122">
        <v>200</v>
      </c>
      <c r="G20" s="135">
        <v>260</v>
      </c>
      <c r="H20" s="122">
        <v>404</v>
      </c>
      <c r="I20" s="130">
        <v>600</v>
      </c>
      <c r="R20" s="27" t="s">
        <v>55</v>
      </c>
      <c r="S20" s="4">
        <f t="shared" ref="S20:X20" si="0">$E$60</f>
        <v>36</v>
      </c>
      <c r="T20" s="4">
        <f t="shared" si="0"/>
        <v>36</v>
      </c>
      <c r="U20" s="4">
        <f t="shared" si="0"/>
        <v>36</v>
      </c>
      <c r="V20" s="4">
        <f t="shared" si="0"/>
        <v>36</v>
      </c>
      <c r="W20" s="4">
        <f t="shared" si="0"/>
        <v>36</v>
      </c>
      <c r="X20" s="4">
        <f t="shared" si="0"/>
        <v>36</v>
      </c>
      <c r="Z20" s="8"/>
    </row>
    <row r="21" spans="2:26">
      <c r="B21" s="61" t="s">
        <v>159</v>
      </c>
      <c r="D21" s="123">
        <v>0</v>
      </c>
      <c r="E21" s="136">
        <v>13.9</v>
      </c>
      <c r="F21" s="123">
        <v>0</v>
      </c>
      <c r="G21" s="136">
        <v>5.5555555555555598</v>
      </c>
      <c r="H21" s="123">
        <v>20.833333333333332</v>
      </c>
      <c r="I21" s="131">
        <v>100</v>
      </c>
      <c r="R21" s="24" t="s">
        <v>52</v>
      </c>
      <c r="S21" s="45">
        <f t="shared" ref="S21:X26" si="1">D21</f>
        <v>0</v>
      </c>
      <c r="T21" s="45">
        <f t="shared" si="1"/>
        <v>13.9</v>
      </c>
      <c r="U21" s="45">
        <f t="shared" si="1"/>
        <v>0</v>
      </c>
      <c r="V21" s="45">
        <f t="shared" si="1"/>
        <v>5.5555555555555598</v>
      </c>
      <c r="W21" s="45">
        <f t="shared" si="1"/>
        <v>20.833333333333332</v>
      </c>
      <c r="X21" s="45">
        <f t="shared" si="1"/>
        <v>100</v>
      </c>
      <c r="Z21" s="8"/>
    </row>
    <row r="22" spans="2:26">
      <c r="B22" s="61" t="s">
        <v>160</v>
      </c>
      <c r="D22" s="124">
        <v>0</v>
      </c>
      <c r="E22" s="129">
        <v>0</v>
      </c>
      <c r="F22" s="124">
        <v>30</v>
      </c>
      <c r="G22" s="129">
        <v>0</v>
      </c>
      <c r="H22" s="124">
        <v>0</v>
      </c>
      <c r="I22" s="134">
        <v>0</v>
      </c>
      <c r="R22" s="25" t="s">
        <v>53</v>
      </c>
      <c r="S22" s="45">
        <f t="shared" si="1"/>
        <v>0</v>
      </c>
      <c r="T22" s="45">
        <f t="shared" si="1"/>
        <v>0</v>
      </c>
      <c r="U22" s="45">
        <f t="shared" si="1"/>
        <v>30</v>
      </c>
      <c r="V22" s="45">
        <f t="shared" si="1"/>
        <v>0</v>
      </c>
      <c r="W22" s="45">
        <f t="shared" si="1"/>
        <v>0</v>
      </c>
      <c r="X22" s="45">
        <f t="shared" si="1"/>
        <v>0</v>
      </c>
      <c r="Z22" s="8"/>
    </row>
    <row r="23" spans="2:26">
      <c r="B23" s="61" t="s">
        <v>161</v>
      </c>
      <c r="D23" s="125">
        <v>0</v>
      </c>
      <c r="E23" s="137">
        <f>0.072337962962963</f>
        <v>7.2337962962963007E-2</v>
      </c>
      <c r="F23" s="125">
        <v>3.4722222222222224E-2</v>
      </c>
      <c r="G23" s="137">
        <v>3.4722222222222224E-2</v>
      </c>
      <c r="H23" s="125">
        <v>3.4722222222222224E-2</v>
      </c>
      <c r="I23" s="132">
        <v>3.4722222222222224E-2</v>
      </c>
      <c r="R23" s="24" t="s">
        <v>169</v>
      </c>
      <c r="S23" s="45">
        <f t="shared" si="1"/>
        <v>0</v>
      </c>
      <c r="T23" s="45">
        <f t="shared" si="1"/>
        <v>7.2337962962963007E-2</v>
      </c>
      <c r="U23" s="45">
        <f t="shared" si="1"/>
        <v>3.4722222222222224E-2</v>
      </c>
      <c r="V23" s="45">
        <f t="shared" si="1"/>
        <v>3.4722222222222224E-2</v>
      </c>
      <c r="W23" s="45">
        <f t="shared" si="1"/>
        <v>3.4722222222222224E-2</v>
      </c>
      <c r="X23" s="45">
        <f t="shared" si="1"/>
        <v>3.4722222222222224E-2</v>
      </c>
      <c r="Z23" s="8"/>
    </row>
    <row r="24" spans="2:26">
      <c r="B24" s="62" t="s">
        <v>119</v>
      </c>
      <c r="D24" s="126">
        <v>5.0000000000000001E-3</v>
      </c>
      <c r="E24" s="138">
        <v>2.0000000000000002E-5</v>
      </c>
      <c r="F24" s="126"/>
      <c r="G24" s="138">
        <v>0.02</v>
      </c>
      <c r="H24" s="126">
        <v>5.0000000000000001E-3</v>
      </c>
      <c r="I24" s="133">
        <v>1E-3</v>
      </c>
      <c r="R24" s="25"/>
      <c r="S24" s="45">
        <f t="shared" si="1"/>
        <v>5.0000000000000001E-3</v>
      </c>
      <c r="T24" s="45">
        <f t="shared" si="1"/>
        <v>2.0000000000000002E-5</v>
      </c>
      <c r="U24" s="45">
        <f t="shared" si="1"/>
        <v>0</v>
      </c>
      <c r="V24" s="45">
        <f t="shared" si="1"/>
        <v>0.02</v>
      </c>
      <c r="W24" s="45">
        <f t="shared" si="1"/>
        <v>5.0000000000000001E-3</v>
      </c>
      <c r="X24" s="45">
        <f t="shared" si="1"/>
        <v>1E-3</v>
      </c>
      <c r="Z24" s="8"/>
    </row>
    <row r="25" spans="2:26">
      <c r="B25" s="62" t="s">
        <v>56</v>
      </c>
      <c r="D25" s="124">
        <v>0</v>
      </c>
      <c r="E25" s="129">
        <v>2</v>
      </c>
      <c r="F25" s="124">
        <v>3</v>
      </c>
      <c r="G25" s="129">
        <v>1</v>
      </c>
      <c r="H25" s="124">
        <v>2</v>
      </c>
      <c r="I25" s="134">
        <v>2</v>
      </c>
      <c r="R25" s="24" t="s">
        <v>77</v>
      </c>
      <c r="S25" s="45">
        <f t="shared" si="1"/>
        <v>0</v>
      </c>
      <c r="T25" s="45">
        <f t="shared" si="1"/>
        <v>2</v>
      </c>
      <c r="U25" s="45">
        <f t="shared" si="1"/>
        <v>3</v>
      </c>
      <c r="V25" s="45">
        <f t="shared" si="1"/>
        <v>1</v>
      </c>
      <c r="W25" s="45">
        <f t="shared" si="1"/>
        <v>2</v>
      </c>
      <c r="X25" s="45">
        <f t="shared" si="1"/>
        <v>2</v>
      </c>
      <c r="Z25" s="8"/>
    </row>
    <row r="26" spans="2:26">
      <c r="B26" s="62" t="s">
        <v>57</v>
      </c>
      <c r="D26" s="124">
        <v>0</v>
      </c>
      <c r="E26" s="129">
        <v>1000</v>
      </c>
      <c r="F26" s="124">
        <v>60</v>
      </c>
      <c r="G26" s="129">
        <v>200</v>
      </c>
      <c r="H26" s="124">
        <v>1200</v>
      </c>
      <c r="I26" s="134">
        <v>2000</v>
      </c>
      <c r="R26" s="26" t="s">
        <v>170</v>
      </c>
      <c r="S26" s="45">
        <f t="shared" si="1"/>
        <v>0</v>
      </c>
      <c r="T26" s="45">
        <f t="shared" si="1"/>
        <v>1000</v>
      </c>
      <c r="U26" s="45">
        <f t="shared" si="1"/>
        <v>60</v>
      </c>
      <c r="V26" s="45">
        <f t="shared" si="1"/>
        <v>200</v>
      </c>
      <c r="W26" s="45">
        <f t="shared" si="1"/>
        <v>1200</v>
      </c>
      <c r="X26" s="45">
        <f t="shared" si="1"/>
        <v>2000</v>
      </c>
      <c r="Z26" s="8"/>
    </row>
    <row r="27" spans="2:26">
      <c r="B27" s="61" t="s">
        <v>254</v>
      </c>
      <c r="D27" s="139"/>
      <c r="E27" s="140">
        <f>SoilProps!D56-(SoilProps!D57-Examples!E28)+20</f>
        <v>0</v>
      </c>
      <c r="F27" s="141">
        <v>160</v>
      </c>
      <c r="G27" s="140">
        <f>278</f>
        <v>278</v>
      </c>
      <c r="H27" s="141">
        <f>404-62</f>
        <v>342</v>
      </c>
      <c r="I27" s="142">
        <v>404</v>
      </c>
      <c r="R27" s="1"/>
      <c r="S27" s="45"/>
      <c r="T27" s="45"/>
      <c r="U27" s="45"/>
      <c r="V27" s="45"/>
      <c r="W27" s="45"/>
      <c r="X27" s="45"/>
      <c r="Z27" s="8"/>
    </row>
    <row r="28" spans="2:26">
      <c r="B28" s="65" t="s">
        <v>255</v>
      </c>
      <c r="C28" s="64"/>
      <c r="D28" s="143">
        <v>0</v>
      </c>
      <c r="E28" s="144">
        <v>0</v>
      </c>
      <c r="F28" s="145">
        <v>60</v>
      </c>
      <c r="G28" s="144">
        <v>180</v>
      </c>
      <c r="H28" s="145">
        <v>240</v>
      </c>
      <c r="I28" s="146">
        <v>384</v>
      </c>
      <c r="R28" s="1"/>
      <c r="S28" s="45"/>
      <c r="T28" s="45"/>
      <c r="U28" s="45"/>
      <c r="V28" s="45"/>
      <c r="W28" s="45"/>
      <c r="X28" s="45"/>
      <c r="Z28" s="8"/>
    </row>
    <row r="29" spans="2:26" ht="15" customHeight="1">
      <c r="B29" s="1" t="s">
        <v>187</v>
      </c>
      <c r="Z29" s="8"/>
    </row>
    <row r="30" spans="2:26">
      <c r="Z30" s="8"/>
    </row>
    <row r="31" spans="2:26">
      <c r="B31" s="35" t="s">
        <v>91</v>
      </c>
      <c r="R31" s="1"/>
      <c r="T31" s="121"/>
      <c r="U31" s="121"/>
      <c r="V31" s="121"/>
      <c r="W31" s="121"/>
      <c r="X31" s="121"/>
      <c r="Z31" s="8"/>
    </row>
    <row r="32" spans="2:26">
      <c r="R32" s="1"/>
    </row>
    <row r="33" spans="3:24">
      <c r="C33" s="162" t="s">
        <v>89</v>
      </c>
      <c r="D33" s="163" t="s">
        <v>90</v>
      </c>
      <c r="E33" s="162" t="s">
        <v>89</v>
      </c>
      <c r="F33" s="163" t="s">
        <v>90</v>
      </c>
      <c r="G33" s="162" t="s">
        <v>89</v>
      </c>
      <c r="H33" s="163" t="s">
        <v>90</v>
      </c>
      <c r="I33" s="162" t="s">
        <v>89</v>
      </c>
      <c r="J33" s="163" t="s">
        <v>90</v>
      </c>
      <c r="R33" s="1"/>
      <c r="S33" s="121"/>
      <c r="T33" s="121"/>
      <c r="U33" s="121"/>
      <c r="V33" s="121"/>
      <c r="W33" s="121"/>
      <c r="X33" s="121"/>
    </row>
    <row r="34" spans="3:24">
      <c r="C34" s="164">
        <f>SoilProps!C63</f>
        <v>0</v>
      </c>
      <c r="D34" s="165">
        <f>SoilProps!D63</f>
        <v>0</v>
      </c>
      <c r="E34" s="164">
        <f>SoilProps!C85</f>
        <v>0</v>
      </c>
      <c r="F34" s="165">
        <f>SoilProps!D85</f>
        <v>0</v>
      </c>
      <c r="G34" s="164">
        <f>SoilProps!C107</f>
        <v>0</v>
      </c>
      <c r="H34" s="165">
        <f>SoilProps!D107</f>
        <v>0</v>
      </c>
      <c r="I34" s="164">
        <f>SoilProps!C127</f>
        <v>0</v>
      </c>
      <c r="J34" s="165">
        <f>SoilProps!D127</f>
        <v>0</v>
      </c>
    </row>
    <row r="35" spans="3:24">
      <c r="C35" s="166">
        <f>SoilProps!C64</f>
        <v>0.48</v>
      </c>
      <c r="D35" s="167">
        <f>SoilProps!D64</f>
        <v>956.75300000000004</v>
      </c>
      <c r="E35" s="166">
        <f>SoilProps!C86</f>
        <v>0.05</v>
      </c>
      <c r="F35" s="167">
        <f>SoilProps!D86</f>
        <v>371</v>
      </c>
      <c r="G35" s="166">
        <f>SoilProps!C108</f>
        <v>0.14000000000000001</v>
      </c>
      <c r="H35" s="167">
        <f>SoilProps!D108</f>
        <v>180</v>
      </c>
      <c r="I35" s="166">
        <f>SoilProps!C128</f>
        <v>0.48</v>
      </c>
      <c r="J35" s="167">
        <f>SoilProps!D128</f>
        <v>2790</v>
      </c>
    </row>
    <row r="36" spans="3:24">
      <c r="C36" s="166">
        <f>SoilProps!C65</f>
        <v>0.96</v>
      </c>
      <c r="D36" s="167">
        <f>SoilProps!D65</f>
        <v>1137.777</v>
      </c>
      <c r="E36" s="166">
        <f>SoilProps!C87</f>
        <v>0.1</v>
      </c>
      <c r="F36" s="167">
        <f>SoilProps!D87</f>
        <v>742</v>
      </c>
      <c r="G36" s="166">
        <f>SoilProps!C109</f>
        <v>0.45</v>
      </c>
      <c r="H36" s="167">
        <f>SoilProps!D109</f>
        <v>567</v>
      </c>
      <c r="I36" s="166">
        <f>SoilProps!C129</f>
        <v>0.96</v>
      </c>
      <c r="J36" s="167">
        <f>SoilProps!D129</f>
        <v>3317</v>
      </c>
    </row>
    <row r="37" spans="3:24">
      <c r="C37" s="166">
        <f>SoilProps!C66</f>
        <v>1.44</v>
      </c>
      <c r="D37" s="167">
        <f>SoilProps!D66</f>
        <v>1259.1579999999999</v>
      </c>
      <c r="E37" s="166">
        <f>SoilProps!C88</f>
        <v>0.15</v>
      </c>
      <c r="F37" s="167">
        <f>SoilProps!D88</f>
        <v>1094</v>
      </c>
      <c r="G37" s="166">
        <f>SoilProps!C110</f>
        <v>0.9</v>
      </c>
      <c r="H37" s="167">
        <f>SoilProps!D110</f>
        <v>715</v>
      </c>
      <c r="I37" s="166">
        <f>SoilProps!C130</f>
        <v>1.44</v>
      </c>
      <c r="J37" s="167">
        <f>SoilProps!D130</f>
        <v>3671</v>
      </c>
    </row>
    <row r="38" spans="3:24">
      <c r="C38" s="166">
        <f>SoilProps!C67</f>
        <v>1.92</v>
      </c>
      <c r="D38" s="167">
        <f>SoilProps!D67</f>
        <v>1353</v>
      </c>
      <c r="E38" s="166">
        <f>SoilProps!C89</f>
        <v>0.2</v>
      </c>
      <c r="F38" s="167">
        <f>SoilProps!D89</f>
        <v>1216</v>
      </c>
      <c r="G38" s="166">
        <f>SoilProps!C111</f>
        <v>1.35</v>
      </c>
      <c r="H38" s="167">
        <f>SoilProps!D111</f>
        <v>818</v>
      </c>
      <c r="I38" s="166">
        <f>SoilProps!C131</f>
        <v>1.92</v>
      </c>
      <c r="J38" s="167">
        <f>SoilProps!D131</f>
        <v>3944</v>
      </c>
    </row>
    <row r="39" spans="3:24">
      <c r="C39" s="166">
        <f>SoilProps!C68</f>
        <v>2.4</v>
      </c>
      <c r="D39" s="167">
        <f>SoilProps!D68</f>
        <v>1431</v>
      </c>
      <c r="E39" s="166">
        <f>SoilProps!C90</f>
        <v>0.25</v>
      </c>
      <c r="F39" s="167">
        <f>SoilProps!D90</f>
        <v>1321</v>
      </c>
      <c r="G39" s="166">
        <f>SoilProps!C112</f>
        <v>1.8</v>
      </c>
      <c r="H39" s="167">
        <f>SoilProps!D112</f>
        <v>901</v>
      </c>
      <c r="I39" s="166">
        <f>SoilProps!C132</f>
        <v>2.4</v>
      </c>
      <c r="J39" s="167">
        <f>SoilProps!D132</f>
        <v>4171</v>
      </c>
    </row>
    <row r="40" spans="3:24">
      <c r="C40" s="166">
        <f>SoilProps!C69</f>
        <v>2.88</v>
      </c>
      <c r="D40" s="167">
        <f>SoilProps!D69</f>
        <v>1497</v>
      </c>
      <c r="E40" s="166">
        <f>SoilProps!C91</f>
        <v>0.3</v>
      </c>
      <c r="F40" s="167">
        <f>SoilProps!D91</f>
        <v>1413</v>
      </c>
      <c r="G40" s="166">
        <f>SoilProps!C113</f>
        <v>2.25</v>
      </c>
      <c r="H40" s="167">
        <f>SoilProps!D113</f>
        <v>970</v>
      </c>
      <c r="I40" s="166">
        <f>SoilProps!C133</f>
        <v>2.88</v>
      </c>
      <c r="J40" s="167">
        <f>SoilProps!D133</f>
        <v>4365</v>
      </c>
    </row>
    <row r="41" spans="3:24">
      <c r="C41" s="166">
        <f>SoilProps!C70</f>
        <v>3.36</v>
      </c>
      <c r="D41" s="167">
        <f>SoilProps!D70</f>
        <v>1556</v>
      </c>
      <c r="E41" s="166">
        <f>SoilProps!C92</f>
        <v>0.35</v>
      </c>
      <c r="F41" s="167">
        <f>SoilProps!D92</f>
        <v>1496</v>
      </c>
      <c r="G41" s="166">
        <f>SoilProps!C114</f>
        <v>2.7</v>
      </c>
      <c r="H41" s="167">
        <f>SoilProps!D114</f>
        <v>1031</v>
      </c>
      <c r="I41" s="166">
        <f>SoilProps!C134</f>
        <v>3.36</v>
      </c>
      <c r="J41" s="167">
        <f>SoilProps!D134</f>
        <v>4537</v>
      </c>
    </row>
    <row r="42" spans="3:24">
      <c r="C42" s="166">
        <f>SoilProps!C71</f>
        <v>3.84</v>
      </c>
      <c r="D42" s="167">
        <f>SoilProps!D71</f>
        <v>1609</v>
      </c>
      <c r="E42" s="166">
        <f>SoilProps!C93</f>
        <v>0.4</v>
      </c>
      <c r="F42" s="167">
        <f>SoilProps!D93</f>
        <v>1572</v>
      </c>
      <c r="G42" s="166">
        <f>SoilProps!C115</f>
        <v>3.15</v>
      </c>
      <c r="H42" s="167">
        <f>SoilProps!D115</f>
        <v>1085</v>
      </c>
      <c r="I42" s="166">
        <f>SoilProps!C135</f>
        <v>3.84</v>
      </c>
      <c r="J42" s="167">
        <f>SoilProps!D135</f>
        <v>4691</v>
      </c>
    </row>
    <row r="43" spans="3:24">
      <c r="C43" s="166">
        <f>SoilProps!C72</f>
        <v>4.32</v>
      </c>
      <c r="D43" s="167">
        <f>SoilProps!D72</f>
        <v>1657</v>
      </c>
      <c r="E43" s="166">
        <f>SoilProps!C94</f>
        <v>0.45</v>
      </c>
      <c r="F43" s="167">
        <f>SoilProps!D94</f>
        <v>1642</v>
      </c>
      <c r="G43" s="166">
        <f>SoilProps!C116</f>
        <v>3.6</v>
      </c>
      <c r="H43" s="167">
        <f>SoilProps!D116</f>
        <v>1134</v>
      </c>
      <c r="I43" s="166">
        <f>SoilProps!C136</f>
        <v>4.32</v>
      </c>
      <c r="J43" s="167">
        <f>SoilProps!D136</f>
        <v>4831</v>
      </c>
    </row>
    <row r="44" spans="3:24">
      <c r="C44" s="166">
        <f>SoilProps!C73</f>
        <v>4.8</v>
      </c>
      <c r="D44" s="167">
        <f>SoilProps!D73</f>
        <v>1701</v>
      </c>
      <c r="E44" s="166">
        <f>SoilProps!C95</f>
        <v>0.5</v>
      </c>
      <c r="F44" s="167">
        <f>SoilProps!D95</f>
        <v>1707</v>
      </c>
      <c r="G44" s="166">
        <f>SoilProps!C117</f>
        <v>4.05</v>
      </c>
      <c r="H44" s="167">
        <f>SoilProps!D117</f>
        <v>1180</v>
      </c>
      <c r="I44" s="166">
        <f>SoilProps!C137</f>
        <v>4.8</v>
      </c>
      <c r="J44" s="167">
        <f>SoilProps!D137</f>
        <v>4960</v>
      </c>
    </row>
    <row r="45" spans="3:24">
      <c r="C45" s="166">
        <f>SoilProps!C74</f>
        <v>5.28</v>
      </c>
      <c r="D45" s="167">
        <f>SoilProps!D74</f>
        <v>1742</v>
      </c>
      <c r="E45" s="166">
        <f>SoilProps!C96</f>
        <v>0.55000000000000004</v>
      </c>
      <c r="F45" s="167">
        <f>SoilProps!D96</f>
        <v>1768</v>
      </c>
      <c r="G45" s="166">
        <f>SoilProps!C118</f>
        <v>4.5</v>
      </c>
      <c r="H45" s="167">
        <f>SoilProps!D118</f>
        <v>1222</v>
      </c>
      <c r="I45" s="166">
        <f>SoilProps!C138</f>
        <v>5.28</v>
      </c>
      <c r="J45" s="167">
        <f>SoilProps!D138</f>
        <v>5080</v>
      </c>
    </row>
    <row r="46" spans="3:24">
      <c r="C46" s="166">
        <f>SoilProps!C75</f>
        <v>5.76</v>
      </c>
      <c r="D46" s="167">
        <f>SoilProps!D75</f>
        <v>1781</v>
      </c>
      <c r="E46" s="166">
        <f>SoilProps!C97</f>
        <v>0.6</v>
      </c>
      <c r="F46" s="167">
        <f>SoilProps!D97</f>
        <v>1826</v>
      </c>
      <c r="G46" s="166">
        <f>SoilProps!C119</f>
        <v>4.95</v>
      </c>
      <c r="H46" s="167">
        <f>SoilProps!D119</f>
        <v>1261</v>
      </c>
      <c r="I46" s="166">
        <f>SoilProps!C139</f>
        <v>5.76</v>
      </c>
      <c r="J46" s="167">
        <f>SoilProps!D139</f>
        <v>5191</v>
      </c>
    </row>
    <row r="47" spans="3:24">
      <c r="C47" s="166">
        <f>SoilProps!C76</f>
        <v>6.24</v>
      </c>
      <c r="D47" s="167">
        <f>SoilProps!D76</f>
        <v>1817</v>
      </c>
      <c r="E47" s="166">
        <f>SoilProps!C98</f>
        <v>1.35</v>
      </c>
      <c r="F47" s="167">
        <f>SoilProps!D98</f>
        <v>2669</v>
      </c>
      <c r="G47" s="166">
        <f>SoilProps!C120</f>
        <v>5.4</v>
      </c>
      <c r="H47" s="167">
        <f>SoilProps!D120</f>
        <v>1299</v>
      </c>
      <c r="I47" s="166">
        <f>SoilProps!C140</f>
        <v>6.24</v>
      </c>
      <c r="J47" s="167">
        <f>SoilProps!D140</f>
        <v>5296</v>
      </c>
    </row>
    <row r="48" spans="3:24">
      <c r="C48" s="166">
        <f>SoilProps!C77</f>
        <v>6.72</v>
      </c>
      <c r="D48" s="167">
        <f>SoilProps!D77</f>
        <v>1851</v>
      </c>
      <c r="E48" s="166">
        <f>SoilProps!C99</f>
        <v>1.5</v>
      </c>
      <c r="F48" s="167">
        <f>SoilProps!D99</f>
        <v>2669</v>
      </c>
      <c r="G48" s="166">
        <f>SoilProps!C121</f>
        <v>14.4</v>
      </c>
      <c r="H48" s="167">
        <f>SoilProps!D121</f>
        <v>1801</v>
      </c>
      <c r="I48" s="166">
        <f>SoilProps!C141</f>
        <v>6.72</v>
      </c>
      <c r="J48" s="167">
        <f>SoilProps!D141</f>
        <v>5395</v>
      </c>
    </row>
    <row r="49" spans="2:18">
      <c r="C49" s="166">
        <f>SoilProps!C78</f>
        <v>7.2</v>
      </c>
      <c r="D49" s="167">
        <f>SoilProps!D78</f>
        <v>1883</v>
      </c>
      <c r="E49" s="166"/>
      <c r="F49" s="167"/>
      <c r="G49" s="166"/>
      <c r="H49" s="167"/>
      <c r="I49" s="166">
        <f>SoilProps!C142</f>
        <v>7.2</v>
      </c>
      <c r="J49" s="167">
        <f>SoilProps!D142</f>
        <v>5489</v>
      </c>
    </row>
    <row r="50" spans="2:18">
      <c r="C50" s="166">
        <f>SoilProps!C79</f>
        <v>9</v>
      </c>
      <c r="D50" s="167">
        <f>SoilProps!D79</f>
        <v>1883</v>
      </c>
      <c r="E50" s="166"/>
      <c r="F50" s="167"/>
      <c r="G50" s="166"/>
      <c r="H50" s="167"/>
      <c r="I50" s="166">
        <f>SoilProps!C143</f>
        <v>9</v>
      </c>
      <c r="J50" s="167">
        <f>SoilProps!D143</f>
        <v>5489</v>
      </c>
    </row>
    <row r="51" spans="2:18">
      <c r="C51" s="166"/>
      <c r="D51" s="167"/>
      <c r="E51" s="166"/>
      <c r="F51" s="167"/>
      <c r="G51" s="166"/>
      <c r="H51" s="167"/>
      <c r="I51" s="166"/>
      <c r="J51" s="167"/>
    </row>
    <row r="52" spans="2:18">
      <c r="C52" s="166"/>
      <c r="D52" s="167"/>
      <c r="E52" s="166"/>
      <c r="F52" s="167"/>
      <c r="G52" s="166"/>
      <c r="H52" s="167"/>
      <c r="I52" s="166"/>
      <c r="J52" s="167"/>
    </row>
    <row r="53" spans="2:18">
      <c r="C53" s="166"/>
      <c r="D53" s="167"/>
      <c r="E53" s="166"/>
      <c r="F53" s="167"/>
      <c r="G53" s="166"/>
      <c r="H53" s="167"/>
      <c r="I53" s="166"/>
      <c r="J53" s="167"/>
    </row>
    <row r="54" spans="2:18">
      <c r="C54" s="166"/>
      <c r="D54" s="167"/>
      <c r="E54" s="166"/>
      <c r="F54" s="167"/>
      <c r="G54" s="166"/>
      <c r="H54" s="167"/>
      <c r="I54" s="166"/>
      <c r="J54" s="167"/>
    </row>
    <row r="55" spans="2:18">
      <c r="C55" s="168"/>
      <c r="D55" s="169"/>
      <c r="E55" s="168"/>
      <c r="F55" s="169"/>
      <c r="G55" s="168"/>
      <c r="H55" s="169"/>
      <c r="I55" s="168"/>
      <c r="J55" s="169"/>
    </row>
    <row r="58" spans="2:18">
      <c r="B58" s="35" t="s">
        <v>151</v>
      </c>
    </row>
    <row r="59" spans="2:18" ht="15">
      <c r="B59" s="58" t="s">
        <v>76</v>
      </c>
      <c r="C59" s="59"/>
      <c r="D59" s="60" t="s">
        <v>248</v>
      </c>
      <c r="E59" s="68">
        <v>300</v>
      </c>
      <c r="F59" s="68">
        <v>600</v>
      </c>
      <c r="R59" s="8"/>
    </row>
    <row r="60" spans="2:18" ht="15">
      <c r="B60" s="61" t="s">
        <v>86</v>
      </c>
      <c r="D60" s="63" t="s">
        <v>230</v>
      </c>
      <c r="E60" s="72">
        <v>36</v>
      </c>
      <c r="F60" s="43">
        <v>36</v>
      </c>
      <c r="R60" s="8"/>
    </row>
    <row r="61" spans="2:18" ht="15">
      <c r="B61" s="61" t="s">
        <v>82</v>
      </c>
      <c r="C61" s="1"/>
      <c r="D61" s="63" t="s">
        <v>249</v>
      </c>
      <c r="E61" s="114">
        <f>3100000*82500</f>
        <v>255750000000</v>
      </c>
      <c r="F61" s="114">
        <f>3100000*61500</f>
        <v>190650000000</v>
      </c>
      <c r="H61" s="8"/>
      <c r="R61" s="8"/>
    </row>
    <row r="62" spans="2:18" ht="15">
      <c r="B62" s="62" t="s">
        <v>60</v>
      </c>
      <c r="C62" s="1" t="s">
        <v>61</v>
      </c>
      <c r="D62" s="106" t="s">
        <v>250</v>
      </c>
      <c r="E62" s="43"/>
      <c r="F62" s="43"/>
      <c r="R62" s="8"/>
    </row>
    <row r="63" spans="2:18" ht="15">
      <c r="B63" s="61" t="s">
        <v>84</v>
      </c>
      <c r="C63" s="1" t="s">
        <v>62</v>
      </c>
      <c r="D63" s="106" t="s">
        <v>250</v>
      </c>
      <c r="E63" s="43"/>
      <c r="F63" s="43"/>
      <c r="R63" s="8"/>
    </row>
    <row r="64" spans="2:18" ht="15">
      <c r="B64" s="62" t="s">
        <v>63</v>
      </c>
      <c r="C64" s="1" t="s">
        <v>64</v>
      </c>
      <c r="D64" s="106" t="s">
        <v>250</v>
      </c>
      <c r="E64" s="43"/>
      <c r="F64" s="43"/>
      <c r="R64" s="8"/>
    </row>
    <row r="65" spans="2:18" ht="15">
      <c r="B65" s="62" t="s">
        <v>65</v>
      </c>
      <c r="C65" s="1" t="s">
        <v>66</v>
      </c>
      <c r="D65" s="106" t="s">
        <v>250</v>
      </c>
      <c r="E65" s="102"/>
      <c r="F65" s="102"/>
      <c r="R65" s="8"/>
    </row>
    <row r="66" spans="2:18" ht="15">
      <c r="B66" s="62" t="s">
        <v>67</v>
      </c>
      <c r="C66" s="1" t="s">
        <v>68</v>
      </c>
      <c r="D66" s="106" t="s">
        <v>251</v>
      </c>
      <c r="E66" s="102"/>
      <c r="F66" s="102"/>
      <c r="R66" s="8"/>
    </row>
    <row r="67" spans="2:18" ht="15">
      <c r="B67" s="62" t="s">
        <v>69</v>
      </c>
      <c r="C67" s="1" t="s">
        <v>70</v>
      </c>
      <c r="D67" s="106" t="s">
        <v>252</v>
      </c>
      <c r="E67" s="102"/>
      <c r="F67" s="102"/>
      <c r="R67" s="8"/>
    </row>
    <row r="68" spans="2:18" ht="15">
      <c r="B68" s="62" t="s">
        <v>71</v>
      </c>
      <c r="C68" s="1" t="s">
        <v>72</v>
      </c>
      <c r="D68" s="106" t="s">
        <v>250</v>
      </c>
      <c r="E68" s="102"/>
      <c r="F68" s="102"/>
      <c r="R68" s="8"/>
    </row>
    <row r="69" spans="2:18" ht="15">
      <c r="B69" s="61" t="s">
        <v>92</v>
      </c>
      <c r="C69" s="1" t="s">
        <v>73</v>
      </c>
      <c r="D69" s="106" t="s">
        <v>250</v>
      </c>
      <c r="E69" s="102"/>
      <c r="F69" s="102"/>
      <c r="R69" s="8"/>
    </row>
    <row r="70" spans="2:18" ht="15">
      <c r="B70" s="62" t="s">
        <v>74</v>
      </c>
      <c r="C70" s="1" t="s">
        <v>75</v>
      </c>
      <c r="D70" s="106" t="s">
        <v>250</v>
      </c>
      <c r="E70" s="43"/>
      <c r="F70" s="104"/>
      <c r="R70" s="8"/>
    </row>
    <row r="71" spans="2:18" ht="15">
      <c r="B71" s="65" t="s">
        <v>83</v>
      </c>
      <c r="C71" s="107"/>
      <c r="D71" s="67" t="s">
        <v>250</v>
      </c>
      <c r="E71" s="44"/>
      <c r="F71" s="44"/>
      <c r="R71" s="8"/>
    </row>
    <row r="72" spans="2:18">
      <c r="B72" s="1" t="s">
        <v>85</v>
      </c>
      <c r="R72" s="8"/>
    </row>
    <row r="73" spans="2:18">
      <c r="B73" s="1"/>
      <c r="R73" s="8"/>
    </row>
    <row r="74" spans="2:18">
      <c r="B74" s="35" t="s">
        <v>113</v>
      </c>
      <c r="R74" s="8"/>
    </row>
    <row r="75" spans="2:18" ht="15">
      <c r="B75" s="58" t="s">
        <v>114</v>
      </c>
      <c r="C75" s="59"/>
      <c r="D75" s="60"/>
      <c r="E75" s="68">
        <v>0.5</v>
      </c>
      <c r="R75" s="8"/>
    </row>
    <row r="76" spans="2:18" ht="15">
      <c r="B76" s="61" t="s">
        <v>116</v>
      </c>
      <c r="D76" s="63"/>
      <c r="E76" s="105">
        <v>100</v>
      </c>
      <c r="R76" s="8"/>
    </row>
    <row r="77" spans="2:18" ht="15">
      <c r="B77" s="61" t="s">
        <v>256</v>
      </c>
      <c r="D77" s="63"/>
      <c r="E77" s="71">
        <v>1E-3</v>
      </c>
      <c r="R77" s="8"/>
    </row>
    <row r="78" spans="2:18" ht="15">
      <c r="B78" s="61" t="s">
        <v>257</v>
      </c>
      <c r="D78" s="66"/>
      <c r="E78" s="72">
        <v>1E-3</v>
      </c>
      <c r="R78" s="8"/>
    </row>
    <row r="79" spans="2:18" ht="15">
      <c r="B79" s="65" t="s">
        <v>258</v>
      </c>
      <c r="C79" s="64"/>
      <c r="D79" s="73"/>
      <c r="E79" s="74">
        <v>1E-3</v>
      </c>
      <c r="R79" s="8"/>
    </row>
    <row r="80" spans="2:18">
      <c r="B80" s="1"/>
      <c r="R80" s="8"/>
    </row>
    <row r="81" spans="1:24">
      <c r="B81" s="35" t="s">
        <v>115</v>
      </c>
      <c r="H81" s="108"/>
      <c r="I81" s="108"/>
      <c r="J81" s="108"/>
      <c r="K81" s="108"/>
      <c r="L81" s="108"/>
      <c r="M81" s="1"/>
      <c r="N81" s="1"/>
      <c r="R81" s="8"/>
    </row>
    <row r="82" spans="1:24" ht="25.5">
      <c r="B82" s="32" t="s">
        <v>1</v>
      </c>
      <c r="C82" s="32" t="s">
        <v>33</v>
      </c>
      <c r="D82" s="32" t="s">
        <v>42</v>
      </c>
      <c r="E82" s="32" t="s">
        <v>37</v>
      </c>
      <c r="F82" s="32" t="s">
        <v>46</v>
      </c>
      <c r="G82" s="57" t="s">
        <v>88</v>
      </c>
      <c r="H82" s="170" t="s">
        <v>244</v>
      </c>
      <c r="I82" s="170" t="s">
        <v>245</v>
      </c>
      <c r="J82" s="170" t="s">
        <v>246</v>
      </c>
      <c r="K82" s="170" t="s">
        <v>247</v>
      </c>
      <c r="L82" s="170" t="s">
        <v>171</v>
      </c>
      <c r="O82" s="1" t="s">
        <v>171</v>
      </c>
      <c r="P82" s="1" t="s">
        <v>172</v>
      </c>
      <c r="Q82" s="1" t="s">
        <v>240</v>
      </c>
      <c r="R82" s="1" t="s">
        <v>241</v>
      </c>
      <c r="S82" s="1" t="s">
        <v>242</v>
      </c>
      <c r="T82" s="1" t="s">
        <v>243</v>
      </c>
    </row>
    <row r="83" spans="1:24">
      <c r="A83" s="127"/>
      <c r="B83" s="111" t="e">
        <f t="array" ref="B83:L113">LatPile($B$5:$C$5,$E$5:$E$11,D20:I28,E59:F61,C34:J50,E75:E79,3,1)</f>
        <v>#VALUE!</v>
      </c>
      <c r="C83" s="51" t="e">
        <v>#VALUE!</v>
      </c>
      <c r="D83" s="117" t="e">
        <v>#VALUE!</v>
      </c>
      <c r="E83" s="50" t="e">
        <v>#VALUE!</v>
      </c>
      <c r="F83" s="118" t="e">
        <v>#VALUE!</v>
      </c>
      <c r="G83" s="52" t="e">
        <v>#VALUE!</v>
      </c>
      <c r="H83" t="e">
        <v>#VALUE!</v>
      </c>
      <c r="I83" s="33" t="e">
        <v>#VALUE!</v>
      </c>
      <c r="J83" s="33" t="e">
        <v>#VALUE!</v>
      </c>
      <c r="K83" s="33" t="e">
        <v>#VALUE!</v>
      </c>
      <c r="L83" s="33" t="e">
        <v>#VALUE!</v>
      </c>
      <c r="O83" s="45" t="e">
        <f>G83*C83</f>
        <v>#VALUE!</v>
      </c>
      <c r="P83">
        <v>0</v>
      </c>
      <c r="Q83">
        <v>0.251</v>
      </c>
      <c r="R83" s="128">
        <v>100000</v>
      </c>
      <c r="S83" s="109">
        <v>50200</v>
      </c>
      <c r="T83" s="8">
        <v>0</v>
      </c>
    </row>
    <row r="84" spans="1:24">
      <c r="A84" s="127"/>
      <c r="B84" s="112" t="e">
        <v>#VALUE!</v>
      </c>
      <c r="C84" s="56" t="e">
        <v>#VALUE!</v>
      </c>
      <c r="D84" s="42" t="e">
        <v>#VALUE!</v>
      </c>
      <c r="E84" s="42" t="e">
        <v>#VALUE!</v>
      </c>
      <c r="F84" s="119" t="e">
        <v>#VALUE!</v>
      </c>
      <c r="G84" s="49" t="e">
        <v>#VALUE!</v>
      </c>
      <c r="H84" t="e">
        <v>#VALUE!</v>
      </c>
      <c r="I84" s="33" t="e">
        <v>#VALUE!</v>
      </c>
      <c r="J84" s="33" t="e">
        <v>#VALUE!</v>
      </c>
      <c r="K84" s="33" t="e">
        <v>#VALUE!</v>
      </c>
      <c r="L84" s="33" t="e">
        <v>#VALUE!</v>
      </c>
      <c r="O84" s="45" t="e">
        <f t="shared" ref="O84:O113" si="2">G84*C84</f>
        <v>#VALUE!</v>
      </c>
      <c r="P84">
        <v>-10</v>
      </c>
      <c r="Q84">
        <v>0.23</v>
      </c>
      <c r="R84" s="128">
        <v>605000</v>
      </c>
      <c r="S84" s="109">
        <v>50700</v>
      </c>
      <c r="T84" s="8">
        <v>0</v>
      </c>
      <c r="U84" s="4"/>
    </row>
    <row r="85" spans="1:24">
      <c r="A85" s="127"/>
      <c r="B85" s="112" t="e">
        <v>#VALUE!</v>
      </c>
      <c r="C85" s="56" t="e">
        <v>#VALUE!</v>
      </c>
      <c r="D85" s="42" t="e">
        <v>#VALUE!</v>
      </c>
      <c r="E85" s="42" t="e">
        <v>#VALUE!</v>
      </c>
      <c r="F85" s="119" t="e">
        <v>#VALUE!</v>
      </c>
      <c r="G85" s="49" t="e">
        <v>#VALUE!</v>
      </c>
      <c r="H85" t="e">
        <v>#VALUE!</v>
      </c>
      <c r="I85" s="33" t="e">
        <v>#VALUE!</v>
      </c>
      <c r="J85" s="33" t="e">
        <v>#VALUE!</v>
      </c>
      <c r="K85" s="33" t="e">
        <v>#VALUE!</v>
      </c>
      <c r="L85" s="33" t="e">
        <v>#VALUE!</v>
      </c>
      <c r="O85" s="45" t="e">
        <f t="shared" si="2"/>
        <v>#VALUE!</v>
      </c>
      <c r="P85">
        <v>-20</v>
      </c>
      <c r="Q85">
        <v>0.20899999999999999</v>
      </c>
      <c r="R85" s="128">
        <v>1120000</v>
      </c>
      <c r="S85" s="109">
        <v>50700</v>
      </c>
      <c r="T85" s="8">
        <v>602</v>
      </c>
    </row>
    <row r="86" spans="1:24">
      <c r="A86" s="127"/>
      <c r="B86" s="112" t="e">
        <v>#VALUE!</v>
      </c>
      <c r="C86" s="56" t="e">
        <v>#VALUE!</v>
      </c>
      <c r="D86" s="42" t="e">
        <v>#VALUE!</v>
      </c>
      <c r="E86" s="42" t="e">
        <v>#VALUE!</v>
      </c>
      <c r="F86" s="119" t="e">
        <v>#VALUE!</v>
      </c>
      <c r="G86" s="49" t="e">
        <v>#VALUE!</v>
      </c>
      <c r="H86" t="e">
        <v>#VALUE!</v>
      </c>
      <c r="I86" s="33" t="e">
        <v>#VALUE!</v>
      </c>
      <c r="J86" s="33" t="e">
        <v>#VALUE!</v>
      </c>
      <c r="K86" s="33" t="e">
        <v>#VALUE!</v>
      </c>
      <c r="L86" s="33" t="e">
        <v>#VALUE!</v>
      </c>
      <c r="O86" s="45" t="e">
        <f t="shared" si="2"/>
        <v>#VALUE!</v>
      </c>
      <c r="P86">
        <v>-30</v>
      </c>
      <c r="Q86">
        <v>0.189</v>
      </c>
      <c r="R86" s="128">
        <v>1600000</v>
      </c>
      <c r="S86" s="109">
        <v>44900</v>
      </c>
      <c r="T86" s="8">
        <v>643</v>
      </c>
    </row>
    <row r="87" spans="1:24">
      <c r="A87" s="127"/>
      <c r="B87" s="112" t="e">
        <v>#VALUE!</v>
      </c>
      <c r="C87" s="56" t="e">
        <v>#VALUE!</v>
      </c>
      <c r="D87" s="42" t="e">
        <v>#VALUE!</v>
      </c>
      <c r="E87" s="42" t="e">
        <v>#VALUE!</v>
      </c>
      <c r="F87" s="119" t="e">
        <v>#VALUE!</v>
      </c>
      <c r="G87" s="49" t="e">
        <v>#VALUE!</v>
      </c>
      <c r="H87" t="e">
        <v>#VALUE!</v>
      </c>
      <c r="I87" s="33" t="e">
        <v>#VALUE!</v>
      </c>
      <c r="J87" s="33" t="e">
        <v>#VALUE!</v>
      </c>
      <c r="K87" s="33" t="e">
        <v>#VALUE!</v>
      </c>
      <c r="L87" s="33" t="e">
        <v>#VALUE!</v>
      </c>
      <c r="O87" s="45" t="e">
        <f t="shared" si="2"/>
        <v>#VALUE!</v>
      </c>
      <c r="P87">
        <v>-40</v>
      </c>
      <c r="Q87">
        <v>0.17</v>
      </c>
      <c r="R87" s="128">
        <v>2020000</v>
      </c>
      <c r="S87" s="109">
        <v>38400</v>
      </c>
      <c r="T87" s="8">
        <v>663</v>
      </c>
    </row>
    <row r="88" spans="1:24">
      <c r="A88" s="127"/>
      <c r="B88" s="112" t="e">
        <v>#VALUE!</v>
      </c>
      <c r="C88" s="56" t="e">
        <v>#VALUE!</v>
      </c>
      <c r="D88" s="42" t="e">
        <v>#VALUE!</v>
      </c>
      <c r="E88" s="42" t="e">
        <v>#VALUE!</v>
      </c>
      <c r="F88" s="119" t="e">
        <v>#VALUE!</v>
      </c>
      <c r="G88" s="49" t="e">
        <v>#VALUE!</v>
      </c>
      <c r="H88" t="e">
        <v>#VALUE!</v>
      </c>
      <c r="I88" s="33" t="e">
        <v>#VALUE!</v>
      </c>
      <c r="J88" s="33" t="e">
        <v>#VALUE!</v>
      </c>
      <c r="K88" s="33" t="e">
        <v>#VALUE!</v>
      </c>
      <c r="L88" s="33" t="e">
        <v>#VALUE!</v>
      </c>
      <c r="O88" s="45" t="e">
        <f t="shared" si="2"/>
        <v>#VALUE!</v>
      </c>
      <c r="P88">
        <v>-50</v>
      </c>
      <c r="Q88">
        <v>0.151</v>
      </c>
      <c r="R88" s="128">
        <v>2370000</v>
      </c>
      <c r="S88" s="109">
        <v>31600</v>
      </c>
      <c r="T88" s="8">
        <v>680</v>
      </c>
      <c r="U88" s="8"/>
      <c r="X88" s="8"/>
    </row>
    <row r="89" spans="1:24">
      <c r="A89" s="127"/>
      <c r="B89" s="112" t="e">
        <v>#VALUE!</v>
      </c>
      <c r="C89" s="56" t="e">
        <v>#VALUE!</v>
      </c>
      <c r="D89" s="42" t="e">
        <v>#VALUE!</v>
      </c>
      <c r="E89" s="42" t="e">
        <v>#VALUE!</v>
      </c>
      <c r="F89" s="119" t="e">
        <v>#VALUE!</v>
      </c>
      <c r="G89" s="49" t="e">
        <v>#VALUE!</v>
      </c>
      <c r="H89" t="e">
        <v>#VALUE!</v>
      </c>
      <c r="I89" s="33" t="e">
        <v>#VALUE!</v>
      </c>
      <c r="J89" s="33" t="e">
        <v>#VALUE!</v>
      </c>
      <c r="K89" s="33" t="e">
        <v>#VALUE!</v>
      </c>
      <c r="L89" s="33" t="e">
        <v>#VALUE!</v>
      </c>
      <c r="O89" s="45" t="e">
        <f t="shared" si="2"/>
        <v>#VALUE!</v>
      </c>
      <c r="P89">
        <v>-60</v>
      </c>
      <c r="Q89">
        <v>0.13300000000000001</v>
      </c>
      <c r="R89" s="128">
        <v>2660000</v>
      </c>
      <c r="S89" s="109">
        <v>24800</v>
      </c>
      <c r="T89" s="8">
        <v>695</v>
      </c>
      <c r="U89" s="8"/>
    </row>
    <row r="90" spans="1:24">
      <c r="A90" s="127"/>
      <c r="B90" s="112" t="e">
        <v>#VALUE!</v>
      </c>
      <c r="C90" s="56" t="e">
        <v>#VALUE!</v>
      </c>
      <c r="D90" s="42" t="e">
        <v>#VALUE!</v>
      </c>
      <c r="E90" s="42" t="e">
        <v>#VALUE!</v>
      </c>
      <c r="F90" s="119" t="e">
        <v>#VALUE!</v>
      </c>
      <c r="G90" s="49" t="e">
        <v>#VALUE!</v>
      </c>
      <c r="H90" t="e">
        <v>#VALUE!</v>
      </c>
      <c r="I90" s="33" t="e">
        <v>#VALUE!</v>
      </c>
      <c r="J90" s="33" t="e">
        <v>#VALUE!</v>
      </c>
      <c r="K90" s="33" t="e">
        <v>#VALUE!</v>
      </c>
      <c r="L90" s="33" t="e">
        <v>#VALUE!</v>
      </c>
      <c r="O90" s="45" t="e">
        <f t="shared" si="2"/>
        <v>#VALUE!</v>
      </c>
      <c r="P90">
        <v>-70</v>
      </c>
      <c r="Q90">
        <v>0.11700000000000001</v>
      </c>
      <c r="R90" s="128">
        <v>2870000</v>
      </c>
      <c r="S90" s="109">
        <v>17800</v>
      </c>
      <c r="T90" s="8">
        <v>706</v>
      </c>
      <c r="U90" s="8"/>
    </row>
    <row r="91" spans="1:24">
      <c r="A91" s="127"/>
      <c r="B91" s="112" t="e">
        <v>#VALUE!</v>
      </c>
      <c r="C91" s="56" t="e">
        <v>#VALUE!</v>
      </c>
      <c r="D91" s="42" t="e">
        <v>#VALUE!</v>
      </c>
      <c r="E91" s="42" t="e">
        <v>#VALUE!</v>
      </c>
      <c r="F91" s="119" t="e">
        <v>#VALUE!</v>
      </c>
      <c r="G91" s="49" t="e">
        <v>#VALUE!</v>
      </c>
      <c r="H91" t="e">
        <v>#VALUE!</v>
      </c>
      <c r="I91" s="33" t="e">
        <v>#VALUE!</v>
      </c>
      <c r="J91" s="33" t="e">
        <v>#VALUE!</v>
      </c>
      <c r="K91" s="33" t="e">
        <v>#VALUE!</v>
      </c>
      <c r="L91" s="33" t="e">
        <v>#VALUE!</v>
      </c>
      <c r="O91" s="45" t="e">
        <f t="shared" si="2"/>
        <v>#VALUE!</v>
      </c>
      <c r="P91">
        <v>-80</v>
      </c>
      <c r="Q91">
        <v>0.10100000000000001</v>
      </c>
      <c r="R91" s="128">
        <v>3020000</v>
      </c>
      <c r="S91" s="109">
        <v>11200</v>
      </c>
      <c r="T91" s="8">
        <v>507</v>
      </c>
      <c r="U91" s="8"/>
    </row>
    <row r="92" spans="1:24">
      <c r="A92" s="127"/>
      <c r="B92" s="112" t="e">
        <v>#VALUE!</v>
      </c>
      <c r="C92" s="56" t="e">
        <v>#VALUE!</v>
      </c>
      <c r="D92" s="42" t="e">
        <v>#VALUE!</v>
      </c>
      <c r="E92" s="42" t="e">
        <v>#VALUE!</v>
      </c>
      <c r="F92" s="119" t="e">
        <v>#VALUE!</v>
      </c>
      <c r="G92" s="49" t="e">
        <v>#VALUE!</v>
      </c>
      <c r="H92" t="e">
        <v>#VALUE!</v>
      </c>
      <c r="I92" s="33" t="e">
        <v>#VALUE!</v>
      </c>
      <c r="J92" s="33" t="e">
        <v>#VALUE!</v>
      </c>
      <c r="K92" s="33" t="e">
        <v>#VALUE!</v>
      </c>
      <c r="L92" s="33" t="e">
        <v>#VALUE!</v>
      </c>
      <c r="O92" s="45" t="e">
        <f t="shared" si="2"/>
        <v>#VALUE!</v>
      </c>
      <c r="P92">
        <v>-90</v>
      </c>
      <c r="Q92">
        <v>8.6499999999999994E-2</v>
      </c>
      <c r="R92" s="128">
        <v>3100000</v>
      </c>
      <c r="S92" s="109">
        <v>6210</v>
      </c>
      <c r="T92" s="8">
        <v>486</v>
      </c>
      <c r="U92" s="33"/>
    </row>
    <row r="93" spans="1:24">
      <c r="A93" s="127"/>
      <c r="B93" s="112" t="e">
        <v>#VALUE!</v>
      </c>
      <c r="C93" s="56" t="e">
        <v>#VALUE!</v>
      </c>
      <c r="D93" s="42" t="e">
        <v>#VALUE!</v>
      </c>
      <c r="E93" s="42" t="e">
        <v>#VALUE!</v>
      </c>
      <c r="F93" s="119" t="e">
        <v>#VALUE!</v>
      </c>
      <c r="G93" s="49" t="e">
        <v>#VALUE!</v>
      </c>
      <c r="H93" t="e">
        <v>#VALUE!</v>
      </c>
      <c r="I93" s="33" t="e">
        <v>#VALUE!</v>
      </c>
      <c r="J93" s="33" t="e">
        <v>#VALUE!</v>
      </c>
      <c r="K93" s="33" t="e">
        <v>#VALUE!</v>
      </c>
      <c r="L93" s="33" t="e">
        <v>#VALUE!</v>
      </c>
      <c r="O93" s="45" t="e">
        <f t="shared" si="2"/>
        <v>#VALUE!</v>
      </c>
      <c r="P93">
        <v>-100</v>
      </c>
      <c r="Q93">
        <v>7.3300000000000004E-2</v>
      </c>
      <c r="R93" s="128">
        <v>3140000</v>
      </c>
      <c r="S93" s="109">
        <v>1490</v>
      </c>
      <c r="T93" s="8">
        <v>456</v>
      </c>
      <c r="U93" s="4"/>
    </row>
    <row r="94" spans="1:24">
      <c r="A94" s="127"/>
      <c r="B94" s="112" t="e">
        <v>#VALUE!</v>
      </c>
      <c r="C94" s="56" t="e">
        <v>#VALUE!</v>
      </c>
      <c r="D94" s="42" t="e">
        <v>#VALUE!</v>
      </c>
      <c r="E94" s="42" t="e">
        <v>#VALUE!</v>
      </c>
      <c r="F94" s="119" t="e">
        <v>#VALUE!</v>
      </c>
      <c r="G94" s="49" t="e">
        <v>#VALUE!</v>
      </c>
      <c r="H94" t="e">
        <v>#VALUE!</v>
      </c>
      <c r="I94" s="33" t="e">
        <v>#VALUE!</v>
      </c>
      <c r="J94" s="33" t="e">
        <v>#VALUE!</v>
      </c>
      <c r="K94" s="33" t="e">
        <v>#VALUE!</v>
      </c>
      <c r="L94" s="33" t="e">
        <v>#VALUE!</v>
      </c>
      <c r="O94" s="45" t="e">
        <f t="shared" si="2"/>
        <v>#VALUE!</v>
      </c>
      <c r="P94">
        <v>-110</v>
      </c>
      <c r="Q94">
        <v>6.13E-2</v>
      </c>
      <c r="R94" s="128">
        <v>3140000</v>
      </c>
      <c r="S94" s="109">
        <v>-2880</v>
      </c>
      <c r="T94" s="8">
        <v>418</v>
      </c>
    </row>
    <row r="95" spans="1:24">
      <c r="A95" s="127"/>
      <c r="B95" s="112" t="e">
        <v>#VALUE!</v>
      </c>
      <c r="C95" s="56" t="e">
        <v>#VALUE!</v>
      </c>
      <c r="D95" s="42" t="e">
        <v>#VALUE!</v>
      </c>
      <c r="E95" s="42" t="e">
        <v>#VALUE!</v>
      </c>
      <c r="F95" s="119" t="e">
        <v>#VALUE!</v>
      </c>
      <c r="G95" s="49" t="e">
        <v>#VALUE!</v>
      </c>
      <c r="H95" t="e">
        <v>#VALUE!</v>
      </c>
      <c r="I95" s="33" t="e">
        <v>#VALUE!</v>
      </c>
      <c r="J95" s="33" t="e">
        <v>#VALUE!</v>
      </c>
      <c r="K95" s="33" t="e">
        <v>#VALUE!</v>
      </c>
      <c r="L95" s="33" t="e">
        <v>#VALUE!</v>
      </c>
      <c r="O95" s="45" t="e">
        <f t="shared" si="2"/>
        <v>#VALUE!</v>
      </c>
      <c r="P95">
        <v>-120</v>
      </c>
      <c r="Q95">
        <v>5.0500000000000003E-2</v>
      </c>
      <c r="R95" s="128">
        <v>3090000</v>
      </c>
      <c r="S95" s="109">
        <v>-6840</v>
      </c>
      <c r="T95" s="8">
        <v>375</v>
      </c>
    </row>
    <row r="96" spans="1:24">
      <c r="A96" s="127"/>
      <c r="B96" s="112" t="e">
        <v>#VALUE!</v>
      </c>
      <c r="C96" s="56" t="e">
        <v>#VALUE!</v>
      </c>
      <c r="D96" s="42" t="e">
        <v>#VALUE!</v>
      </c>
      <c r="E96" s="42" t="e">
        <v>#VALUE!</v>
      </c>
      <c r="F96" s="119" t="e">
        <v>#VALUE!</v>
      </c>
      <c r="G96" s="49" t="e">
        <v>#VALUE!</v>
      </c>
      <c r="H96" t="e">
        <v>#VALUE!</v>
      </c>
      <c r="I96" s="33" t="e">
        <v>#VALUE!</v>
      </c>
      <c r="J96" s="33" t="e">
        <v>#VALUE!</v>
      </c>
      <c r="K96" s="33" t="e">
        <v>#VALUE!</v>
      </c>
      <c r="L96" s="33" t="e">
        <v>#VALUE!</v>
      </c>
      <c r="O96" s="45" t="e">
        <f t="shared" si="2"/>
        <v>#VALUE!</v>
      </c>
      <c r="P96">
        <v>-130</v>
      </c>
      <c r="Q96">
        <v>4.0899999999999999E-2</v>
      </c>
      <c r="R96" s="128">
        <v>3000000</v>
      </c>
      <c r="S96" s="109">
        <v>-10400</v>
      </c>
      <c r="T96" s="8">
        <v>328</v>
      </c>
    </row>
    <row r="97" spans="1:20">
      <c r="A97" s="127"/>
      <c r="B97" s="112" t="e">
        <v>#VALUE!</v>
      </c>
      <c r="C97" s="56" t="e">
        <v>#VALUE!</v>
      </c>
      <c r="D97" s="42" t="e">
        <v>#VALUE!</v>
      </c>
      <c r="E97" s="42" t="e">
        <v>#VALUE!</v>
      </c>
      <c r="F97" s="119" t="e">
        <v>#VALUE!</v>
      </c>
      <c r="G97" s="49" t="e">
        <v>#VALUE!</v>
      </c>
      <c r="H97" t="e">
        <v>#VALUE!</v>
      </c>
      <c r="I97" s="33" t="e">
        <v>#VALUE!</v>
      </c>
      <c r="J97" s="33" t="e">
        <v>#VALUE!</v>
      </c>
      <c r="K97" s="33" t="e">
        <v>#VALUE!</v>
      </c>
      <c r="L97" s="33" t="e">
        <v>#VALUE!</v>
      </c>
      <c r="O97" s="45" t="e">
        <f t="shared" si="2"/>
        <v>#VALUE!</v>
      </c>
      <c r="P97">
        <v>-140</v>
      </c>
      <c r="R97" s="128">
        <v>2890000</v>
      </c>
      <c r="S97" s="109">
        <v>-13400</v>
      </c>
      <c r="T97" s="8">
        <v>281</v>
      </c>
    </row>
    <row r="98" spans="1:20">
      <c r="A98" s="127"/>
      <c r="B98" s="112" t="e">
        <v>#VALUE!</v>
      </c>
      <c r="C98" s="56" t="e">
        <v>#VALUE!</v>
      </c>
      <c r="D98" s="42" t="e">
        <v>#VALUE!</v>
      </c>
      <c r="E98" s="42" t="e">
        <v>#VALUE!</v>
      </c>
      <c r="F98" s="119" t="e">
        <v>#VALUE!</v>
      </c>
      <c r="G98" s="49" t="e">
        <v>#VALUE!</v>
      </c>
      <c r="H98" t="e">
        <v>#VALUE!</v>
      </c>
      <c r="I98" s="33" t="e">
        <v>#VALUE!</v>
      </c>
      <c r="J98" s="33" t="e">
        <v>#VALUE!</v>
      </c>
      <c r="K98" s="33" t="e">
        <v>#VALUE!</v>
      </c>
      <c r="L98" s="33" t="e">
        <v>#VALUE!</v>
      </c>
      <c r="O98" s="45" t="e">
        <f t="shared" si="2"/>
        <v>#VALUE!</v>
      </c>
      <c r="P98">
        <v>-150</v>
      </c>
      <c r="R98" s="128">
        <v>2740000</v>
      </c>
      <c r="S98" s="109">
        <v>-16000</v>
      </c>
      <c r="T98" s="8">
        <v>233</v>
      </c>
    </row>
    <row r="99" spans="1:20">
      <c r="A99" s="127"/>
      <c r="B99" s="112" t="e">
        <v>#VALUE!</v>
      </c>
      <c r="C99" s="56" t="e">
        <v>#VALUE!</v>
      </c>
      <c r="D99" s="42" t="e">
        <v>#VALUE!</v>
      </c>
      <c r="E99" s="42" t="e">
        <v>#VALUE!</v>
      </c>
      <c r="F99" s="119" t="e">
        <v>#VALUE!</v>
      </c>
      <c r="G99" s="49" t="e">
        <v>#VALUE!</v>
      </c>
      <c r="H99" t="e">
        <v>#VALUE!</v>
      </c>
      <c r="I99" s="33" t="e">
        <v>#VALUE!</v>
      </c>
      <c r="J99" s="33" t="e">
        <v>#VALUE!</v>
      </c>
      <c r="K99" s="33" t="e">
        <v>#VALUE!</v>
      </c>
      <c r="L99" s="33" t="e">
        <v>#VALUE!</v>
      </c>
      <c r="O99" s="45" t="e">
        <f t="shared" si="2"/>
        <v>#VALUE!</v>
      </c>
      <c r="P99">
        <v>-160</v>
      </c>
      <c r="R99" s="128">
        <v>2570000</v>
      </c>
      <c r="S99" s="109">
        <v>-18100</v>
      </c>
      <c r="T99" s="8">
        <v>187</v>
      </c>
    </row>
    <row r="100" spans="1:20">
      <c r="A100" s="127"/>
      <c r="B100" s="112" t="e">
        <v>#VALUE!</v>
      </c>
      <c r="C100" s="56" t="e">
        <v>#VALUE!</v>
      </c>
      <c r="D100" s="42" t="e">
        <v>#VALUE!</v>
      </c>
      <c r="E100" s="42" t="e">
        <v>#VALUE!</v>
      </c>
      <c r="F100" s="119" t="e">
        <v>#VALUE!</v>
      </c>
      <c r="G100" s="49" t="e">
        <v>#VALUE!</v>
      </c>
      <c r="H100" t="e">
        <v>#VALUE!</v>
      </c>
      <c r="I100" s="33" t="e">
        <v>#VALUE!</v>
      </c>
      <c r="J100" s="33" t="e">
        <v>#VALUE!</v>
      </c>
      <c r="K100" s="33" t="e">
        <v>#VALUE!</v>
      </c>
      <c r="L100" s="33" t="e">
        <v>#VALUE!</v>
      </c>
      <c r="O100" s="45" t="e">
        <f t="shared" si="2"/>
        <v>#VALUE!</v>
      </c>
      <c r="P100">
        <v>-170</v>
      </c>
      <c r="R100" s="109"/>
      <c r="S100" s="109">
        <v>-19700</v>
      </c>
      <c r="T100" s="8">
        <v>145</v>
      </c>
    </row>
    <row r="101" spans="1:20">
      <c r="A101" s="127"/>
      <c r="B101" s="112" t="e">
        <v>#VALUE!</v>
      </c>
      <c r="C101" s="56" t="e">
        <v>#VALUE!</v>
      </c>
      <c r="D101" s="42" t="e">
        <v>#VALUE!</v>
      </c>
      <c r="E101" s="42" t="e">
        <v>#VALUE!</v>
      </c>
      <c r="F101" s="119" t="e">
        <v>#VALUE!</v>
      </c>
      <c r="G101" s="49" t="e">
        <v>#VALUE!</v>
      </c>
      <c r="H101" t="e">
        <v>#VALUE!</v>
      </c>
      <c r="I101" s="33" t="e">
        <v>#VALUE!</v>
      </c>
      <c r="J101" s="33" t="e">
        <v>#VALUE!</v>
      </c>
      <c r="K101" s="33" t="e">
        <v>#VALUE!</v>
      </c>
      <c r="L101" s="33" t="e">
        <v>#VALUE!</v>
      </c>
      <c r="O101" s="45" t="e">
        <f t="shared" si="2"/>
        <v>#VALUE!</v>
      </c>
      <c r="P101">
        <v>-180</v>
      </c>
      <c r="R101" s="109"/>
      <c r="S101" s="109">
        <v>-21000</v>
      </c>
      <c r="T101" s="8">
        <v>106</v>
      </c>
    </row>
    <row r="102" spans="1:20">
      <c r="A102" s="127"/>
      <c r="B102" s="112" t="e">
        <v>#VALUE!</v>
      </c>
      <c r="C102" s="56" t="e">
        <v>#VALUE!</v>
      </c>
      <c r="D102" s="42" t="e">
        <v>#VALUE!</v>
      </c>
      <c r="E102" s="42" t="e">
        <v>#VALUE!</v>
      </c>
      <c r="F102" s="119" t="e">
        <v>#VALUE!</v>
      </c>
      <c r="G102" s="49" t="e">
        <v>#VALUE!</v>
      </c>
      <c r="H102" t="e">
        <v>#VALUE!</v>
      </c>
      <c r="I102" s="33" t="e">
        <v>#VALUE!</v>
      </c>
      <c r="J102" s="33" t="e">
        <v>#VALUE!</v>
      </c>
      <c r="K102" s="33" t="e">
        <v>#VALUE!</v>
      </c>
      <c r="L102" s="33" t="e">
        <v>#VALUE!</v>
      </c>
      <c r="O102" s="45" t="e">
        <f t="shared" si="2"/>
        <v>#VALUE!</v>
      </c>
      <c r="P102">
        <v>-190</v>
      </c>
      <c r="R102" s="109"/>
      <c r="S102" s="109">
        <v>-21900</v>
      </c>
      <c r="T102" s="8">
        <v>75.2</v>
      </c>
    </row>
    <row r="103" spans="1:20">
      <c r="A103" s="127"/>
      <c r="B103" s="112" t="e">
        <v>#VALUE!</v>
      </c>
      <c r="C103" s="56" t="e">
        <v>#VALUE!</v>
      </c>
      <c r="D103" s="42" t="e">
        <v>#VALUE!</v>
      </c>
      <c r="E103" s="42" t="e">
        <v>#VALUE!</v>
      </c>
      <c r="F103" s="119" t="e">
        <v>#VALUE!</v>
      </c>
      <c r="G103" s="49" t="e">
        <v>#VALUE!</v>
      </c>
      <c r="H103" t="e">
        <v>#VALUE!</v>
      </c>
      <c r="I103" s="33" t="e">
        <v>#VALUE!</v>
      </c>
      <c r="J103" s="33" t="e">
        <v>#VALUE!</v>
      </c>
      <c r="K103" s="33" t="e">
        <v>#VALUE!</v>
      </c>
      <c r="L103" s="33" t="e">
        <v>#VALUE!</v>
      </c>
      <c r="O103" s="45" t="e">
        <f t="shared" si="2"/>
        <v>#VALUE!</v>
      </c>
      <c r="P103">
        <v>-200</v>
      </c>
      <c r="R103" s="109"/>
      <c r="S103" s="109">
        <v>-22600</v>
      </c>
      <c r="T103" s="8">
        <v>113</v>
      </c>
    </row>
    <row r="104" spans="1:20">
      <c r="A104" s="127"/>
      <c r="B104" s="112" t="e">
        <v>#VALUE!</v>
      </c>
      <c r="C104" s="56" t="e">
        <v>#VALUE!</v>
      </c>
      <c r="D104" s="42" t="e">
        <v>#VALUE!</v>
      </c>
      <c r="E104" s="42" t="e">
        <v>#VALUE!</v>
      </c>
      <c r="F104" s="119" t="e">
        <v>#VALUE!</v>
      </c>
      <c r="G104" s="49" t="e">
        <v>#VALUE!</v>
      </c>
      <c r="H104" t="e">
        <v>#VALUE!</v>
      </c>
      <c r="I104" s="33" t="e">
        <v>#VALUE!</v>
      </c>
      <c r="J104" s="33" t="e">
        <v>#VALUE!</v>
      </c>
      <c r="K104" s="33" t="e">
        <v>#VALUE!</v>
      </c>
      <c r="L104" s="33" t="e">
        <v>#VALUE!</v>
      </c>
      <c r="O104" s="45" t="e">
        <f t="shared" si="2"/>
        <v>#VALUE!</v>
      </c>
      <c r="P104">
        <v>-210</v>
      </c>
      <c r="R104" s="109"/>
      <c r="S104" s="109">
        <v>-23600</v>
      </c>
      <c r="T104" s="8">
        <v>87.2</v>
      </c>
    </row>
    <row r="105" spans="1:20">
      <c r="A105" s="127"/>
      <c r="B105" s="112" t="e">
        <v>#VALUE!</v>
      </c>
      <c r="C105" s="56" t="e">
        <v>#VALUE!</v>
      </c>
      <c r="D105" s="42" t="e">
        <v>#VALUE!</v>
      </c>
      <c r="E105" s="42" t="e">
        <v>#VALUE!</v>
      </c>
      <c r="F105" s="119" t="e">
        <v>#VALUE!</v>
      </c>
      <c r="G105" s="49" t="e">
        <v>#VALUE!</v>
      </c>
      <c r="H105" t="e">
        <v>#VALUE!</v>
      </c>
      <c r="I105" s="33" t="e">
        <v>#VALUE!</v>
      </c>
      <c r="J105" s="33" t="e">
        <v>#VALUE!</v>
      </c>
      <c r="K105" s="33" t="e">
        <v>#VALUE!</v>
      </c>
      <c r="L105" s="33" t="e">
        <v>#VALUE!</v>
      </c>
      <c r="O105" s="45" t="e">
        <f t="shared" si="2"/>
        <v>#VALUE!</v>
      </c>
      <c r="P105">
        <v>-220</v>
      </c>
      <c r="R105" s="109"/>
      <c r="S105" s="109">
        <v>-24300</v>
      </c>
      <c r="T105" s="8">
        <v>47.5</v>
      </c>
    </row>
    <row r="106" spans="1:20">
      <c r="A106" s="127"/>
      <c r="B106" s="112" t="e">
        <v>#VALUE!</v>
      </c>
      <c r="C106" s="56" t="e">
        <v>#VALUE!</v>
      </c>
      <c r="D106" s="42" t="e">
        <v>#VALUE!</v>
      </c>
      <c r="E106" s="42" t="e">
        <v>#VALUE!</v>
      </c>
      <c r="F106" s="119" t="e">
        <v>#VALUE!</v>
      </c>
      <c r="G106" s="49" t="e">
        <v>#VALUE!</v>
      </c>
      <c r="H106" t="e">
        <v>#VALUE!</v>
      </c>
      <c r="I106" s="33" t="e">
        <v>#VALUE!</v>
      </c>
      <c r="J106" s="33" t="e">
        <v>#VALUE!</v>
      </c>
      <c r="K106" s="33" t="e">
        <v>#VALUE!</v>
      </c>
      <c r="L106" s="33" t="e">
        <v>#VALUE!</v>
      </c>
      <c r="O106" s="45" t="e">
        <f t="shared" si="2"/>
        <v>#VALUE!</v>
      </c>
      <c r="P106">
        <v>-230</v>
      </c>
      <c r="R106" s="109"/>
      <c r="S106" s="109">
        <v>-24100</v>
      </c>
      <c r="T106" s="8">
        <v>-62.9</v>
      </c>
    </row>
    <row r="107" spans="1:20">
      <c r="A107" s="127"/>
      <c r="B107" s="112" t="e">
        <v>#VALUE!</v>
      </c>
      <c r="C107" s="56" t="e">
        <v>#VALUE!</v>
      </c>
      <c r="D107" s="42" t="e">
        <v>#VALUE!</v>
      </c>
      <c r="E107" s="42" t="e">
        <v>#VALUE!</v>
      </c>
      <c r="F107" s="119" t="e">
        <v>#VALUE!</v>
      </c>
      <c r="G107" s="49" t="e">
        <v>#VALUE!</v>
      </c>
      <c r="H107" t="e">
        <v>#VALUE!</v>
      </c>
      <c r="I107" s="33" t="e">
        <v>#VALUE!</v>
      </c>
      <c r="J107" s="33" t="e">
        <v>#VALUE!</v>
      </c>
      <c r="K107" s="33" t="e">
        <v>#VALUE!</v>
      </c>
      <c r="L107" s="33" t="e">
        <v>#VALUE!</v>
      </c>
      <c r="O107" s="45" t="e">
        <f t="shared" si="2"/>
        <v>#VALUE!</v>
      </c>
      <c r="P107">
        <v>-240</v>
      </c>
      <c r="R107" s="109"/>
      <c r="S107" s="109">
        <v>-23400</v>
      </c>
      <c r="T107" s="8">
        <v>-76.2</v>
      </c>
    </row>
    <row r="108" spans="1:20">
      <c r="A108" s="127"/>
      <c r="B108" s="112" t="e">
        <v>#VALUE!</v>
      </c>
      <c r="C108" s="56" t="e">
        <v>#VALUE!</v>
      </c>
      <c r="D108" s="42" t="e">
        <v>#VALUE!</v>
      </c>
      <c r="E108" s="42" t="e">
        <v>#VALUE!</v>
      </c>
      <c r="F108" s="119" t="e">
        <v>#VALUE!</v>
      </c>
      <c r="G108" s="49" t="e">
        <v>#VALUE!</v>
      </c>
      <c r="H108" t="e">
        <v>#VALUE!</v>
      </c>
      <c r="I108" s="33" t="e">
        <v>#VALUE!</v>
      </c>
      <c r="J108" s="33" t="e">
        <v>#VALUE!</v>
      </c>
      <c r="K108" s="33" t="e">
        <v>#VALUE!</v>
      </c>
      <c r="L108" s="33" t="e">
        <v>#VALUE!</v>
      </c>
      <c r="O108" s="45" t="e">
        <f t="shared" si="2"/>
        <v>#VALUE!</v>
      </c>
      <c r="P108">
        <v>-250</v>
      </c>
      <c r="R108" s="109"/>
      <c r="S108" s="109">
        <v>-22600</v>
      </c>
      <c r="T108" s="8">
        <v>-79.900000000000006</v>
      </c>
    </row>
    <row r="109" spans="1:20">
      <c r="A109" s="127"/>
      <c r="B109" s="112" t="e">
        <v>#VALUE!</v>
      </c>
      <c r="C109" s="56" t="e">
        <v>#VALUE!</v>
      </c>
      <c r="D109" s="42" t="e">
        <v>#VALUE!</v>
      </c>
      <c r="E109" s="42" t="e">
        <v>#VALUE!</v>
      </c>
      <c r="F109" s="119" t="e">
        <v>#VALUE!</v>
      </c>
      <c r="G109" s="49" t="e">
        <v>#VALUE!</v>
      </c>
      <c r="H109" t="e">
        <v>#VALUE!</v>
      </c>
      <c r="I109" s="33" t="e">
        <v>#VALUE!</v>
      </c>
      <c r="J109" s="33" t="e">
        <v>#VALUE!</v>
      </c>
      <c r="K109" s="33" t="e">
        <v>#VALUE!</v>
      </c>
      <c r="L109" s="33" t="e">
        <v>#VALUE!</v>
      </c>
      <c r="O109" s="45" t="e">
        <f t="shared" si="2"/>
        <v>#VALUE!</v>
      </c>
      <c r="P109">
        <v>-260</v>
      </c>
      <c r="R109" s="109"/>
      <c r="S109" s="109"/>
      <c r="T109" s="8">
        <v>-482</v>
      </c>
    </row>
    <row r="110" spans="1:20">
      <c r="A110" s="127"/>
      <c r="B110" s="112" t="e">
        <v>#VALUE!</v>
      </c>
      <c r="C110" s="56" t="e">
        <v>#VALUE!</v>
      </c>
      <c r="D110" s="42" t="e">
        <v>#VALUE!</v>
      </c>
      <c r="E110" s="42" t="e">
        <v>#VALUE!</v>
      </c>
      <c r="F110" s="119" t="e">
        <v>#VALUE!</v>
      </c>
      <c r="G110" s="49" t="e">
        <v>#VALUE!</v>
      </c>
      <c r="H110" t="e">
        <v>#VALUE!</v>
      </c>
      <c r="I110" s="33" t="e">
        <v>#VALUE!</v>
      </c>
      <c r="J110" s="33" t="e">
        <v>#VALUE!</v>
      </c>
      <c r="K110" s="33" t="e">
        <v>#VALUE!</v>
      </c>
      <c r="L110" s="33" t="e">
        <v>#VALUE!</v>
      </c>
      <c r="O110" s="45" t="e">
        <f t="shared" si="2"/>
        <v>#VALUE!</v>
      </c>
      <c r="P110">
        <v>-270</v>
      </c>
      <c r="R110" s="109"/>
      <c r="S110" s="109"/>
      <c r="T110" s="8">
        <v>-476</v>
      </c>
    </row>
    <row r="111" spans="1:20">
      <c r="A111" s="127"/>
      <c r="B111" s="112" t="e">
        <v>#VALUE!</v>
      </c>
      <c r="C111" s="56" t="e">
        <v>#VALUE!</v>
      </c>
      <c r="D111" s="42" t="e">
        <v>#VALUE!</v>
      </c>
      <c r="E111" s="42" t="e">
        <v>#VALUE!</v>
      </c>
      <c r="F111" s="119" t="e">
        <v>#VALUE!</v>
      </c>
      <c r="G111" s="49" t="e">
        <v>#VALUE!</v>
      </c>
      <c r="H111" t="e">
        <v>#VALUE!</v>
      </c>
      <c r="I111" s="33" t="e">
        <v>#VALUE!</v>
      </c>
      <c r="J111" s="33" t="e">
        <v>#VALUE!</v>
      </c>
      <c r="K111" s="33" t="e">
        <v>#VALUE!</v>
      </c>
      <c r="L111" s="33" t="e">
        <v>#VALUE!</v>
      </c>
      <c r="O111" s="45" t="e">
        <f t="shared" si="2"/>
        <v>#VALUE!</v>
      </c>
      <c r="P111">
        <v>-280</v>
      </c>
      <c r="R111" s="109"/>
      <c r="S111" s="109"/>
      <c r="T111" s="8">
        <v>-457</v>
      </c>
    </row>
    <row r="112" spans="1:20">
      <c r="A112" s="127"/>
      <c r="B112" s="112" t="e">
        <v>#VALUE!</v>
      </c>
      <c r="C112" s="48" t="e">
        <v>#VALUE!</v>
      </c>
      <c r="D112" s="42" t="e">
        <v>#VALUE!</v>
      </c>
      <c r="E112" s="42" t="e">
        <v>#VALUE!</v>
      </c>
      <c r="F112" s="119" t="e">
        <v>#VALUE!</v>
      </c>
      <c r="G112" s="49" t="e">
        <v>#VALUE!</v>
      </c>
      <c r="H112" t="e">
        <v>#VALUE!</v>
      </c>
      <c r="I112" s="33" t="e">
        <v>#VALUE!</v>
      </c>
      <c r="J112" s="33" t="e">
        <v>#VALUE!</v>
      </c>
      <c r="K112" s="33" t="e">
        <v>#VALUE!</v>
      </c>
      <c r="L112" s="33" t="e">
        <v>#VALUE!</v>
      </c>
      <c r="N112" s="109"/>
      <c r="O112" s="45" t="e">
        <f t="shared" si="2"/>
        <v>#VALUE!</v>
      </c>
      <c r="R112" s="109"/>
      <c r="S112" s="109"/>
      <c r="T112" s="109"/>
    </row>
    <row r="113" spans="1:20">
      <c r="A113" s="127"/>
      <c r="B113" s="113" t="e">
        <v>#VALUE!</v>
      </c>
      <c r="C113" s="53" t="e">
        <v>#VALUE!</v>
      </c>
      <c r="D113" s="54" t="e">
        <v>#VALUE!</v>
      </c>
      <c r="E113" s="54" t="e">
        <v>#VALUE!</v>
      </c>
      <c r="F113" s="120" t="e">
        <v>#VALUE!</v>
      </c>
      <c r="G113" s="55" t="e">
        <v>#VALUE!</v>
      </c>
      <c r="H113" t="e">
        <v>#VALUE!</v>
      </c>
      <c r="I113" s="33" t="e">
        <v>#VALUE!</v>
      </c>
      <c r="J113" s="33" t="e">
        <v>#VALUE!</v>
      </c>
      <c r="K113" s="33" t="e">
        <v>#VALUE!</v>
      </c>
      <c r="L113" s="33" t="e">
        <v>#VALUE!</v>
      </c>
      <c r="N113" s="109"/>
      <c r="O113" s="45" t="e">
        <f t="shared" si="2"/>
        <v>#VALUE!</v>
      </c>
      <c r="P113" s="109"/>
      <c r="Q113" s="109"/>
      <c r="R113" s="109"/>
      <c r="S113" s="109"/>
      <c r="T113" s="109"/>
    </row>
    <row r="115" spans="1:20">
      <c r="F115" s="8"/>
      <c r="J115" s="128"/>
      <c r="L115" s="109"/>
      <c r="M115" s="8"/>
      <c r="N115" s="8"/>
    </row>
    <row r="116" spans="1:20">
      <c r="F116" s="8"/>
      <c r="J116" s="128"/>
      <c r="L116" s="109"/>
      <c r="M116" s="8"/>
      <c r="N116" s="8"/>
      <c r="O116" s="8"/>
    </row>
    <row r="117" spans="1:20">
      <c r="F117" s="8"/>
      <c r="J117" s="128"/>
      <c r="K117" s="8"/>
      <c r="L117" s="109"/>
      <c r="M117" s="8"/>
      <c r="N117" s="8"/>
      <c r="O117" s="8"/>
    </row>
    <row r="118" spans="1:20">
      <c r="F118" s="8"/>
      <c r="J118" s="128"/>
      <c r="K118" s="8"/>
      <c r="L118" s="109"/>
      <c r="M118" s="8"/>
      <c r="N118" s="8"/>
      <c r="O118" s="8"/>
    </row>
    <row r="119" spans="1:20">
      <c r="F119" s="8"/>
      <c r="J119" s="128"/>
      <c r="K119" s="8"/>
      <c r="L119" s="109"/>
      <c r="M119" s="8"/>
      <c r="N119" s="8"/>
      <c r="O119" s="8"/>
    </row>
    <row r="120" spans="1:20">
      <c r="F120" s="8"/>
      <c r="J120" s="128"/>
      <c r="K120" s="8"/>
      <c r="L120" s="109"/>
      <c r="M120" s="8"/>
      <c r="N120" s="8"/>
      <c r="O120" s="8"/>
    </row>
    <row r="121" spans="1:20">
      <c r="F121" s="8"/>
      <c r="J121" s="128"/>
      <c r="K121" s="8"/>
      <c r="L121" s="109"/>
      <c r="M121" s="8"/>
      <c r="N121" s="8"/>
      <c r="O121" s="8"/>
    </row>
    <row r="122" spans="1:20">
      <c r="F122" s="8"/>
      <c r="J122" s="128"/>
      <c r="K122" s="8"/>
      <c r="L122" s="109"/>
      <c r="M122" s="8"/>
      <c r="N122" s="8"/>
      <c r="O122" s="8"/>
    </row>
    <row r="123" spans="1:20">
      <c r="F123" s="8"/>
      <c r="J123" s="128"/>
      <c r="K123" s="8"/>
      <c r="L123" s="109"/>
      <c r="M123" s="8"/>
      <c r="N123" s="8"/>
      <c r="O123" s="8"/>
    </row>
    <row r="124" spans="1:20">
      <c r="F124" s="8"/>
      <c r="J124" s="128"/>
      <c r="K124" s="8"/>
      <c r="L124" s="109"/>
      <c r="M124" s="8"/>
      <c r="N124" s="8"/>
      <c r="O124" s="8"/>
    </row>
    <row r="125" spans="1:20">
      <c r="F125" s="8"/>
      <c r="J125" s="128"/>
      <c r="K125" s="8"/>
      <c r="L125" s="109"/>
      <c r="M125" s="8"/>
      <c r="N125" s="8"/>
      <c r="O125" s="8"/>
    </row>
    <row r="126" spans="1:20">
      <c r="F126" s="8"/>
      <c r="J126" s="128"/>
      <c r="K126" s="8"/>
      <c r="L126" s="109"/>
      <c r="M126" s="8"/>
      <c r="N126" s="8"/>
      <c r="O126" s="8"/>
    </row>
    <row r="127" spans="1:20">
      <c r="F127" s="8"/>
      <c r="J127" s="128"/>
      <c r="K127" s="8"/>
      <c r="L127" s="109"/>
      <c r="M127" s="8"/>
      <c r="N127" s="8"/>
      <c r="O127" s="8"/>
    </row>
    <row r="128" spans="1:20">
      <c r="F128" s="8"/>
      <c r="J128" s="128"/>
      <c r="K128" s="8"/>
      <c r="L128" s="109"/>
      <c r="M128" s="8"/>
      <c r="N128" s="8"/>
      <c r="O128" s="8"/>
    </row>
    <row r="129" spans="6:15">
      <c r="F129" s="8"/>
      <c r="J129" s="128"/>
      <c r="K129" s="8"/>
      <c r="L129" s="109"/>
      <c r="M129" s="8"/>
      <c r="N129" s="8"/>
      <c r="O129" s="8"/>
    </row>
    <row r="130" spans="6:15">
      <c r="F130" s="8"/>
      <c r="J130" s="128"/>
      <c r="K130" s="8"/>
      <c r="L130" s="109"/>
      <c r="M130" s="8"/>
      <c r="N130" s="8"/>
      <c r="O130" s="8"/>
    </row>
    <row r="131" spans="6:15">
      <c r="F131" s="8"/>
      <c r="J131" s="128"/>
      <c r="K131" s="8"/>
      <c r="L131" s="109"/>
      <c r="M131" s="8"/>
      <c r="N131" s="8"/>
      <c r="O131" s="8"/>
    </row>
    <row r="132" spans="6:15">
      <c r="F132" s="8"/>
      <c r="J132" s="109"/>
      <c r="K132" s="8"/>
      <c r="L132" s="109"/>
      <c r="M132" s="8"/>
      <c r="N132" s="8"/>
      <c r="O132" s="8"/>
    </row>
    <row r="133" spans="6:15">
      <c r="F133" s="8"/>
      <c r="J133" s="109"/>
      <c r="K133" s="8"/>
      <c r="L133" s="109"/>
      <c r="M133" s="8"/>
      <c r="N133" s="8"/>
      <c r="O133" s="8"/>
    </row>
    <row r="134" spans="6:15">
      <c r="F134" s="8"/>
      <c r="J134" s="109"/>
      <c r="K134" s="8"/>
      <c r="L134" s="109"/>
      <c r="M134" s="8"/>
      <c r="N134" s="8"/>
    </row>
    <row r="135" spans="6:15">
      <c r="F135" s="8"/>
      <c r="J135" s="109"/>
      <c r="K135" s="8"/>
      <c r="L135" s="109"/>
      <c r="M135" s="8"/>
      <c r="N135" s="8"/>
    </row>
    <row r="136" spans="6:15">
      <c r="F136" s="8"/>
      <c r="J136" s="109"/>
      <c r="K136" s="8"/>
      <c r="L136" s="109"/>
      <c r="M136" s="8"/>
      <c r="N136" s="8"/>
    </row>
    <row r="137" spans="6:15">
      <c r="F137" s="8"/>
      <c r="J137" s="109"/>
      <c r="K137" s="8"/>
      <c r="L137" s="109"/>
      <c r="M137" s="8"/>
      <c r="N137" s="8"/>
    </row>
    <row r="138" spans="6:15">
      <c r="F138" s="8"/>
      <c r="J138" s="109"/>
      <c r="K138" s="8"/>
      <c r="L138" s="109"/>
      <c r="M138" s="8"/>
      <c r="N138" s="8"/>
    </row>
    <row r="139" spans="6:15">
      <c r="F139" s="8"/>
      <c r="J139" s="109"/>
      <c r="K139" s="8"/>
      <c r="L139" s="109"/>
      <c r="M139" s="8"/>
      <c r="N139" s="8"/>
    </row>
    <row r="140" spans="6:15">
      <c r="F140" s="8"/>
      <c r="J140" s="109"/>
      <c r="K140" s="8"/>
      <c r="L140" s="109"/>
      <c r="M140" s="8"/>
      <c r="N140" s="8"/>
    </row>
    <row r="141" spans="6:15">
      <c r="F141" s="8"/>
      <c r="J141" s="109"/>
      <c r="K141" s="8"/>
      <c r="L141" s="109"/>
      <c r="M141" s="8"/>
      <c r="N141" s="8"/>
    </row>
    <row r="142" spans="6:15">
      <c r="F142" s="8"/>
      <c r="J142" s="109"/>
      <c r="K142" s="8"/>
      <c r="L142" s="109"/>
      <c r="M142" s="8"/>
      <c r="N142" s="8"/>
    </row>
    <row r="143" spans="6:15">
      <c r="F143" s="8"/>
      <c r="J143" s="109"/>
      <c r="K143" s="8"/>
      <c r="L143" s="109"/>
      <c r="M143" s="8"/>
      <c r="N143" s="8"/>
    </row>
    <row r="144" spans="6:15">
      <c r="F144" s="8"/>
      <c r="J144" s="109"/>
      <c r="K144" s="8"/>
      <c r="L144" s="109"/>
      <c r="M144" s="8"/>
      <c r="N144" s="8"/>
    </row>
    <row r="145" spans="6:14">
      <c r="F145" s="8"/>
      <c r="J145" s="109"/>
      <c r="K145" s="8"/>
      <c r="L145" s="109"/>
      <c r="M145" s="8"/>
      <c r="N145" s="8"/>
    </row>
    <row r="146" spans="6:14">
      <c r="F146" s="8"/>
      <c r="J146" s="109"/>
      <c r="K146" s="8"/>
      <c r="L146" s="109"/>
      <c r="M146" s="8"/>
      <c r="N146" s="8"/>
    </row>
    <row r="147" spans="6:14">
      <c r="F147" s="8"/>
      <c r="J147" s="109"/>
      <c r="K147" s="8"/>
      <c r="L147" s="109"/>
      <c r="M147" s="8"/>
      <c r="N147" s="8"/>
    </row>
    <row r="148" spans="6:14">
      <c r="F148" s="8"/>
      <c r="J148" s="109"/>
      <c r="K148" s="8"/>
      <c r="L148" s="109"/>
      <c r="M148" s="8"/>
      <c r="N148" s="8"/>
    </row>
    <row r="149" spans="6:14">
      <c r="F149" s="8"/>
      <c r="J149" s="109"/>
      <c r="K149" s="8"/>
      <c r="L149" s="109"/>
      <c r="M149" s="8"/>
      <c r="N149" s="8"/>
    </row>
    <row r="150" spans="6:14">
      <c r="F150" s="8"/>
      <c r="J150" s="109"/>
      <c r="K150" s="8"/>
      <c r="L150" s="109"/>
      <c r="M150" s="8"/>
      <c r="N150" s="8"/>
    </row>
    <row r="151" spans="6:14">
      <c r="F151" s="8"/>
      <c r="J151" s="109"/>
      <c r="K151" s="8"/>
      <c r="L151" s="109"/>
      <c r="M151" s="8"/>
      <c r="N151" s="8"/>
    </row>
    <row r="152" spans="6:14">
      <c r="F152" s="8"/>
      <c r="J152" s="109"/>
      <c r="K152" s="8"/>
      <c r="L152" s="109"/>
      <c r="M152" s="8"/>
      <c r="N152" s="8"/>
    </row>
    <row r="153" spans="6:14">
      <c r="F153" s="8"/>
      <c r="J153" s="109"/>
      <c r="K153" s="8"/>
      <c r="L153" s="109"/>
      <c r="M153" s="8"/>
      <c r="N153" s="8"/>
    </row>
    <row r="154" spans="6:14">
      <c r="F154" s="8"/>
      <c r="J154" s="8"/>
      <c r="K154" s="8"/>
      <c r="L154" s="8"/>
      <c r="M154" s="8"/>
      <c r="N154" s="8"/>
    </row>
    <row r="155" spans="6:14">
      <c r="F155" s="8"/>
      <c r="J155" s="8"/>
      <c r="K155" s="8"/>
      <c r="L155" s="115"/>
      <c r="M155" s="8"/>
      <c r="N155" s="8"/>
    </row>
    <row r="156" spans="6:14">
      <c r="F156" s="8"/>
      <c r="K156" s="8"/>
      <c r="L156" s="8"/>
      <c r="M156" s="8"/>
      <c r="N156" s="8"/>
    </row>
    <row r="157" spans="6:14">
      <c r="F157" s="8"/>
      <c r="K157" s="8"/>
      <c r="L157" s="8"/>
      <c r="M157" s="8"/>
      <c r="N157" s="8"/>
    </row>
    <row r="158" spans="6:14">
      <c r="F158" s="8"/>
      <c r="K158" s="8"/>
      <c r="L158" s="8"/>
      <c r="M158" s="8"/>
      <c r="N158" s="8"/>
    </row>
    <row r="159" spans="6:14">
      <c r="F159" s="8"/>
      <c r="I159" s="116"/>
      <c r="K159" s="8"/>
      <c r="L159" s="8"/>
      <c r="M159" s="8"/>
      <c r="N159" s="8"/>
    </row>
    <row r="160" spans="6:14">
      <c r="F160" s="8"/>
      <c r="I160" s="116"/>
      <c r="K160" s="8"/>
      <c r="L160" s="8"/>
      <c r="M160" s="8"/>
      <c r="N160" s="8"/>
    </row>
    <row r="161" spans="6:14">
      <c r="F161" s="8"/>
      <c r="I161" s="116"/>
      <c r="K161" s="8"/>
      <c r="L161" s="8"/>
      <c r="M161" s="8"/>
      <c r="N161" s="8"/>
    </row>
    <row r="162" spans="6:14">
      <c r="F162" s="8"/>
      <c r="I162" s="116"/>
      <c r="K162" s="8"/>
      <c r="L162" s="8"/>
      <c r="M162" s="8"/>
      <c r="N162" s="8"/>
    </row>
    <row r="163" spans="6:14">
      <c r="F163" s="8"/>
      <c r="I163" s="116"/>
      <c r="K163" s="8"/>
      <c r="L163" s="8"/>
      <c r="M163" s="8"/>
      <c r="N163" s="8"/>
    </row>
    <row r="164" spans="6:14">
      <c r="F164" s="8"/>
      <c r="I164" s="116"/>
      <c r="K164" s="8"/>
      <c r="L164" s="8"/>
      <c r="M164" s="8"/>
      <c r="N164" s="8"/>
    </row>
    <row r="165" spans="6:14">
      <c r="F165" s="8"/>
      <c r="I165" s="116"/>
      <c r="K165" s="8"/>
      <c r="L165" s="115"/>
      <c r="M165" s="8"/>
      <c r="N165" s="8"/>
    </row>
    <row r="166" spans="6:14">
      <c r="F166" s="8"/>
      <c r="I166" s="116"/>
      <c r="K166" s="8"/>
      <c r="L166" s="115"/>
      <c r="M166" s="8"/>
      <c r="N166" s="8"/>
    </row>
    <row r="167" spans="6:14">
      <c r="F167" s="8"/>
      <c r="I167" s="116"/>
      <c r="K167" s="8"/>
      <c r="L167" s="8"/>
      <c r="M167" s="8"/>
      <c r="N167" s="8"/>
    </row>
    <row r="168" spans="6:14">
      <c r="F168" s="8"/>
      <c r="I168" s="116"/>
      <c r="K168" s="8"/>
      <c r="L168" s="8"/>
      <c r="M168" s="8"/>
      <c r="N168" s="8"/>
    </row>
    <row r="169" spans="6:14">
      <c r="F169" s="8"/>
      <c r="I169" s="116"/>
      <c r="K169" s="8"/>
      <c r="L169" s="8"/>
      <c r="M169" s="8"/>
      <c r="N169" s="8"/>
    </row>
    <row r="170" spans="6:14">
      <c r="F170" s="8"/>
      <c r="I170" s="116"/>
      <c r="K170" s="8"/>
      <c r="L170" s="8"/>
      <c r="M170" s="8"/>
      <c r="N170" s="8"/>
    </row>
    <row r="171" spans="6:14">
      <c r="F171" s="8"/>
      <c r="I171" s="116"/>
      <c r="K171" s="8"/>
      <c r="L171" s="8"/>
      <c r="M171" s="8"/>
      <c r="N171" s="8"/>
    </row>
    <row r="172" spans="6:14">
      <c r="F172" s="8"/>
      <c r="I172" s="116"/>
      <c r="K172" s="8"/>
      <c r="L172" s="8"/>
      <c r="M172" s="8"/>
      <c r="N172" s="8"/>
    </row>
    <row r="173" spans="6:14">
      <c r="F173" s="8"/>
      <c r="I173" s="116"/>
      <c r="K173" s="8"/>
      <c r="L173" s="8"/>
      <c r="M173" s="8"/>
      <c r="N173" s="8"/>
    </row>
    <row r="174" spans="6:14">
      <c r="F174" s="8"/>
      <c r="I174" s="116"/>
      <c r="K174" s="8"/>
      <c r="L174" s="8"/>
      <c r="M174" s="8"/>
      <c r="N174" s="8"/>
    </row>
    <row r="175" spans="6:14">
      <c r="F175" s="8"/>
      <c r="I175" s="116"/>
      <c r="K175" s="8"/>
      <c r="M175" s="8"/>
      <c r="N175" s="8"/>
    </row>
    <row r="176" spans="6:14">
      <c r="I176" s="116"/>
      <c r="K176" s="8"/>
      <c r="M176" s="8"/>
      <c r="N176" s="8"/>
    </row>
    <row r="177" spans="9:35">
      <c r="I177" s="116"/>
      <c r="K177" s="8"/>
      <c r="M177" s="8"/>
      <c r="N177" s="8"/>
    </row>
    <row r="178" spans="9:35">
      <c r="I178" s="8"/>
      <c r="K178" s="8"/>
      <c r="M178" s="8"/>
      <c r="N178" s="8"/>
    </row>
    <row r="179" spans="9:35">
      <c r="I179" s="8"/>
      <c r="K179" s="8"/>
      <c r="M179" s="8"/>
      <c r="N179" s="8"/>
    </row>
    <row r="180" spans="9:35">
      <c r="I180" s="8"/>
      <c r="K180" s="8"/>
      <c r="M180" s="8"/>
      <c r="N180" s="8"/>
    </row>
    <row r="181" spans="9:35">
      <c r="I181" s="8"/>
      <c r="K181" s="8"/>
      <c r="M181" s="8"/>
      <c r="N181" s="8"/>
    </row>
    <row r="182" spans="9:35">
      <c r="I182" s="8"/>
      <c r="K182" s="8"/>
      <c r="M182" s="8"/>
      <c r="N182" s="8"/>
    </row>
    <row r="183" spans="9:35">
      <c r="I183" s="8"/>
      <c r="K183" s="8"/>
      <c r="M183" s="8"/>
      <c r="N183" s="8"/>
    </row>
    <row r="184" spans="9:35">
      <c r="I184" s="8"/>
      <c r="K184" s="8"/>
      <c r="M184" s="8"/>
      <c r="N184" s="8"/>
    </row>
    <row r="185" spans="9:35">
      <c r="I185" s="8"/>
      <c r="K185" s="8"/>
      <c r="M185" s="8"/>
      <c r="N185" s="8"/>
    </row>
    <row r="186" spans="9:35">
      <c r="I186" s="8"/>
      <c r="K186" s="8"/>
      <c r="M186" s="8"/>
      <c r="N186" s="8"/>
    </row>
    <row r="187" spans="9:35">
      <c r="I187" s="8"/>
      <c r="K187" s="8"/>
      <c r="M187" s="8"/>
      <c r="N187" s="8"/>
      <c r="AG187" s="8"/>
      <c r="AH187" s="8"/>
      <c r="AI187" s="8"/>
    </row>
    <row r="188" spans="9:35">
      <c r="I188" s="8"/>
      <c r="K188" s="8"/>
      <c r="M188" s="8"/>
      <c r="N188" s="8"/>
      <c r="Z188" s="8"/>
      <c r="AA188" s="8"/>
      <c r="AB188" s="8"/>
      <c r="AC188" s="8"/>
      <c r="AD188" s="8"/>
    </row>
    <row r="189" spans="9:35">
      <c r="I189" s="8"/>
      <c r="K189" s="8"/>
      <c r="M189" s="8"/>
      <c r="N189" s="8"/>
      <c r="P189" s="1"/>
      <c r="Z189" s="8"/>
      <c r="AA189" s="8"/>
      <c r="AB189" s="8"/>
      <c r="AC189" s="8"/>
      <c r="AD189" s="8"/>
    </row>
    <row r="190" spans="9:35">
      <c r="I190" s="8"/>
      <c r="K190" s="8"/>
      <c r="M190" s="8"/>
      <c r="N190" s="8"/>
      <c r="Z190" s="8"/>
      <c r="AA190" s="8"/>
      <c r="AB190" s="8"/>
      <c r="AC190" s="8"/>
      <c r="AD190" s="8"/>
    </row>
    <row r="191" spans="9:35">
      <c r="I191" s="8"/>
      <c r="K191" s="8"/>
      <c r="M191" s="8"/>
      <c r="N191" s="8"/>
      <c r="Z191" s="8"/>
      <c r="AA191" s="8"/>
      <c r="AB191" s="8"/>
      <c r="AC191" s="8"/>
      <c r="AD191" s="8"/>
    </row>
    <row r="192" spans="9:35">
      <c r="I192" s="8"/>
      <c r="K192" s="8"/>
      <c r="M192" s="8"/>
      <c r="N192" s="8"/>
      <c r="Z192" s="8"/>
      <c r="AA192" s="8"/>
      <c r="AB192" s="8"/>
      <c r="AC192" s="8"/>
      <c r="AD192" s="8"/>
    </row>
    <row r="193" spans="9:30">
      <c r="I193" s="8"/>
      <c r="K193" s="8"/>
      <c r="M193" s="8"/>
      <c r="N193" s="8"/>
      <c r="Z193" s="8"/>
      <c r="AA193" s="8"/>
      <c r="AB193" s="8"/>
      <c r="AC193" s="8"/>
      <c r="AD193" s="8"/>
    </row>
    <row r="194" spans="9:30">
      <c r="I194" s="8"/>
      <c r="K194" s="8"/>
      <c r="M194" s="8"/>
      <c r="N194" s="8"/>
      <c r="Z194" s="8"/>
      <c r="AA194" s="8"/>
      <c r="AB194" s="8"/>
      <c r="AC194" s="8"/>
    </row>
    <row r="195" spans="9:30">
      <c r="I195" s="8"/>
      <c r="K195" s="8"/>
      <c r="M195" s="8"/>
      <c r="N195" s="8"/>
      <c r="Z195" s="8"/>
      <c r="AA195" s="8"/>
      <c r="AB195" s="8"/>
      <c r="AC195" s="8"/>
    </row>
    <row r="196" spans="9:30">
      <c r="I196" s="8"/>
      <c r="K196" s="8"/>
      <c r="M196" s="8"/>
      <c r="N196" s="8"/>
      <c r="Z196" s="8"/>
      <c r="AA196" s="8"/>
      <c r="AB196" s="8"/>
      <c r="AC196" s="8"/>
      <c r="AD196" s="8"/>
    </row>
    <row r="197" spans="9:30">
      <c r="I197" s="8"/>
      <c r="K197" s="8"/>
      <c r="M197" s="8"/>
      <c r="N197" s="8"/>
      <c r="Z197" s="8"/>
      <c r="AA197" s="8"/>
      <c r="AB197" s="8"/>
      <c r="AC197" s="8"/>
      <c r="AD197" s="8"/>
    </row>
    <row r="198" spans="9:30">
      <c r="I198" s="8"/>
      <c r="K198" s="8"/>
      <c r="M198" s="8"/>
      <c r="N198" s="8"/>
      <c r="Z198" s="8"/>
      <c r="AA198" s="8"/>
      <c r="AB198" s="8"/>
      <c r="AC198" s="8"/>
      <c r="AD198" s="8"/>
    </row>
    <row r="199" spans="9:30">
      <c r="I199" s="8"/>
      <c r="K199" s="8"/>
      <c r="M199" s="8"/>
      <c r="N199" s="8"/>
      <c r="Z199" s="8"/>
      <c r="AA199" s="8"/>
      <c r="AB199" s="8"/>
      <c r="AC199" s="8"/>
      <c r="AD199" s="8"/>
    </row>
    <row r="200" spans="9:30">
      <c r="I200" s="8"/>
      <c r="K200" s="8"/>
      <c r="M200" s="8"/>
      <c r="N200" s="8"/>
      <c r="Z200" s="8"/>
      <c r="AA200" s="8"/>
      <c r="AB200" s="8"/>
      <c r="AC200" s="8"/>
      <c r="AD200" s="8"/>
    </row>
    <row r="201" spans="9:30">
      <c r="I201" s="8"/>
      <c r="K201" s="8"/>
      <c r="M201" s="8"/>
      <c r="N201" s="8"/>
      <c r="Z201" s="8"/>
      <c r="AA201" s="8"/>
      <c r="AB201" s="8"/>
      <c r="AC201" s="8"/>
      <c r="AD201" s="8"/>
    </row>
    <row r="202" spans="9:30">
      <c r="I202" s="8"/>
      <c r="K202" s="8"/>
      <c r="M202" s="8"/>
      <c r="N202" s="8"/>
      <c r="Z202" s="8"/>
      <c r="AA202" s="8"/>
      <c r="AB202" s="8"/>
      <c r="AC202" s="8"/>
      <c r="AD202" s="8"/>
    </row>
    <row r="203" spans="9:30">
      <c r="I203" s="8"/>
      <c r="K203" s="8"/>
      <c r="M203" s="8"/>
      <c r="N203" s="8"/>
      <c r="Z203" s="8"/>
      <c r="AA203" s="8"/>
      <c r="AB203" s="8"/>
      <c r="AC203" s="8"/>
      <c r="AD203" s="8"/>
    </row>
    <row r="204" spans="9:30">
      <c r="I204" s="8"/>
      <c r="K204" s="8"/>
      <c r="M204" s="8"/>
      <c r="N204" s="8"/>
      <c r="Z204" s="8"/>
      <c r="AA204" s="8"/>
      <c r="AB204" s="8"/>
      <c r="AC204" s="8"/>
      <c r="AD204" s="8"/>
    </row>
    <row r="205" spans="9:30">
      <c r="I205" s="8"/>
      <c r="K205" s="8"/>
      <c r="M205" s="8"/>
      <c r="N205" s="8"/>
      <c r="Z205" s="8"/>
      <c r="AA205" s="8"/>
      <c r="AB205" s="8"/>
      <c r="AC205" s="8"/>
      <c r="AD205" s="8"/>
    </row>
    <row r="206" spans="9:30">
      <c r="I206" s="8"/>
      <c r="K206" s="8"/>
      <c r="M206" s="8"/>
      <c r="N206" s="8"/>
      <c r="Z206" s="8"/>
      <c r="AA206" s="8"/>
      <c r="AB206" s="8"/>
      <c r="AC206" s="8"/>
      <c r="AD206" s="8"/>
    </row>
    <row r="207" spans="9:30">
      <c r="I207" s="8"/>
      <c r="K207" s="8"/>
      <c r="M207" s="8"/>
      <c r="N207" s="8"/>
      <c r="Z207" s="8"/>
      <c r="AA207" s="8"/>
      <c r="AB207" s="8"/>
      <c r="AC207" s="8"/>
    </row>
    <row r="208" spans="9:30">
      <c r="I208" s="8"/>
      <c r="K208" s="8"/>
      <c r="M208" s="8"/>
      <c r="N208" s="8"/>
      <c r="Z208" s="8"/>
      <c r="AA208" s="8"/>
      <c r="AB208" s="8"/>
      <c r="AC208" s="8"/>
      <c r="AD208" s="8"/>
    </row>
    <row r="209" spans="9:30">
      <c r="I209" s="8"/>
      <c r="K209" s="8"/>
      <c r="M209" s="8"/>
      <c r="N209" s="8"/>
      <c r="Z209" s="8"/>
      <c r="AA209" s="8"/>
      <c r="AB209" s="8"/>
      <c r="AC209" s="8"/>
      <c r="AD209" s="8"/>
    </row>
    <row r="210" spans="9:30">
      <c r="I210" s="8"/>
      <c r="K210" s="8"/>
      <c r="M210" s="8"/>
      <c r="N210" s="8"/>
      <c r="Z210" s="8"/>
      <c r="AA210" s="8"/>
      <c r="AB210" s="8"/>
      <c r="AC210" s="8"/>
      <c r="AD210" s="8"/>
    </row>
    <row r="211" spans="9:30">
      <c r="I211" s="8"/>
      <c r="K211" s="8"/>
      <c r="M211" s="8"/>
      <c r="N211" s="8"/>
      <c r="Z211" s="8"/>
      <c r="AA211" s="8"/>
      <c r="AB211" s="8"/>
      <c r="AC211" s="8"/>
      <c r="AD211" s="8"/>
    </row>
    <row r="212" spans="9:30">
      <c r="I212" s="8"/>
      <c r="K212" s="8"/>
      <c r="M212" s="8"/>
      <c r="N212" s="8"/>
      <c r="Z212" s="8"/>
      <c r="AA212" s="8"/>
      <c r="AB212" s="8"/>
      <c r="AC212" s="8"/>
      <c r="AD212" s="8"/>
    </row>
    <row r="213" spans="9:30">
      <c r="I213" s="8"/>
      <c r="K213" s="8"/>
      <c r="M213" s="8"/>
      <c r="N213" s="8"/>
      <c r="Z213" s="8"/>
      <c r="AA213" s="8"/>
      <c r="AB213" s="8"/>
      <c r="AC213" s="8"/>
      <c r="AD213" s="8"/>
    </row>
    <row r="214" spans="9:30">
      <c r="I214" s="8"/>
      <c r="K214" s="8"/>
      <c r="M214" s="8"/>
      <c r="N214" s="8"/>
      <c r="Z214" s="8"/>
      <c r="AA214" s="8"/>
      <c r="AB214" s="8"/>
      <c r="AC214" s="8"/>
      <c r="AD214" s="8"/>
    </row>
    <row r="215" spans="9:30">
      <c r="I215" s="8"/>
      <c r="K215" s="8"/>
      <c r="M215" s="8"/>
      <c r="N215" s="8"/>
      <c r="Z215" s="8"/>
      <c r="AA215" s="8"/>
      <c r="AB215" s="8"/>
      <c r="AC215" s="8"/>
      <c r="AD215" s="8"/>
    </row>
    <row r="216" spans="9:30">
      <c r="Z216" s="8"/>
      <c r="AA216" s="8"/>
      <c r="AB216" s="8"/>
      <c r="AC216" s="8"/>
    </row>
    <row r="217" spans="9:30">
      <c r="Z217" s="8"/>
      <c r="AA217" s="8"/>
      <c r="AB217" s="8"/>
      <c r="AC217" s="8"/>
    </row>
    <row r="218" spans="9:30">
      <c r="Z218" s="8"/>
      <c r="AA218" s="8"/>
      <c r="AB218" s="8"/>
      <c r="AC218" s="8"/>
    </row>
    <row r="219" spans="9:30">
      <c r="Z219" s="8"/>
      <c r="AA219" s="8"/>
      <c r="AB219" s="8"/>
      <c r="AC219" s="8"/>
    </row>
    <row r="220" spans="9:30">
      <c r="Z220" s="8"/>
      <c r="AA220" s="8"/>
      <c r="AB220" s="8"/>
      <c r="AC220" s="8"/>
    </row>
    <row r="221" spans="9:30">
      <c r="Z221" s="8"/>
      <c r="AA221" s="8"/>
      <c r="AB221" s="8"/>
      <c r="AC221" s="8"/>
    </row>
    <row r="222" spans="9:30">
      <c r="Z222" s="8"/>
      <c r="AA222" s="8"/>
      <c r="AB222" s="8"/>
      <c r="AC222" s="8"/>
    </row>
    <row r="223" spans="9:30">
      <c r="Z223" s="8"/>
      <c r="AA223" s="8"/>
      <c r="AB223" s="8"/>
      <c r="AC223" s="8"/>
    </row>
    <row r="224" spans="9:30">
      <c r="Z224" s="8"/>
      <c r="AA224" s="8"/>
      <c r="AB224" s="8"/>
      <c r="AC224" s="8"/>
    </row>
    <row r="225" spans="26:29">
      <c r="Z225" s="8"/>
      <c r="AA225" s="8"/>
      <c r="AB225" s="8"/>
      <c r="AC225" s="8"/>
    </row>
  </sheetData>
  <mergeCells count="2">
    <mergeCell ref="B3:C3"/>
    <mergeCell ref="D3:E3"/>
  </mergeCells>
  <phoneticPr fontId="11" type="noConversion"/>
  <printOptions gridLines="1" gridLinesSet="0"/>
  <pageMargins left="0.75" right="0.75" top="1" bottom="1" header="0.5" footer="0.5"/>
  <pageSetup orientation="portrait" horizontalDpi="300" verticalDpi="200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144"/>
  <sheetViews>
    <sheetView topLeftCell="A36" workbookViewId="0">
      <selection activeCell="G19" sqref="G19"/>
    </sheetView>
  </sheetViews>
  <sheetFormatPr defaultRowHeight="12.75"/>
  <cols>
    <col min="1" max="1" width="5.28515625" customWidth="1"/>
    <col min="2" max="2" width="23.42578125" customWidth="1"/>
    <col min="3" max="3" width="15.42578125" customWidth="1"/>
    <col min="4" max="5" width="12.7109375" customWidth="1"/>
    <col min="6" max="6" width="10.28515625" customWidth="1"/>
    <col min="7" max="7" width="14" customWidth="1"/>
    <col min="8" max="8" width="13.42578125" customWidth="1"/>
    <col min="9" max="9" width="13.5703125" customWidth="1"/>
    <col min="10" max="10" width="11.85546875" customWidth="1"/>
    <col min="11" max="28" width="9.140625" customWidth="1"/>
    <col min="29" max="37" width="10.28515625" customWidth="1"/>
  </cols>
  <sheetData>
    <row r="1" spans="1:10">
      <c r="A1" t="s">
        <v>117</v>
      </c>
    </row>
    <row r="2" spans="1:10">
      <c r="A2" t="s">
        <v>118</v>
      </c>
    </row>
    <row r="3" spans="1:10">
      <c r="F3" s="75"/>
    </row>
    <row r="4" spans="1:10" ht="15">
      <c r="A4" s="76" t="s">
        <v>119</v>
      </c>
    </row>
    <row r="6" spans="1:10" ht="39">
      <c r="A6" s="77">
        <v>0</v>
      </c>
      <c r="B6" s="78" t="s">
        <v>120</v>
      </c>
      <c r="C6" s="79" t="s">
        <v>121</v>
      </c>
      <c r="D6" s="78" t="s">
        <v>54</v>
      </c>
    </row>
    <row r="7" spans="1:10" ht="15">
      <c r="A7" s="77"/>
      <c r="B7" s="25" t="s">
        <v>122</v>
      </c>
      <c r="C7" t="s">
        <v>123</v>
      </c>
      <c r="D7" s="80">
        <v>0.02</v>
      </c>
    </row>
    <row r="8" spans="1:10" ht="15">
      <c r="A8" s="77"/>
      <c r="B8" s="25" t="s">
        <v>124</v>
      </c>
      <c r="C8" t="s">
        <v>125</v>
      </c>
      <c r="D8" s="80">
        <v>0.01</v>
      </c>
    </row>
    <row r="9" spans="1:10" ht="15">
      <c r="A9" s="77"/>
      <c r="B9" s="25" t="s">
        <v>126</v>
      </c>
      <c r="C9" t="s">
        <v>127</v>
      </c>
      <c r="D9" s="80">
        <v>7.0000000000000001E-3</v>
      </c>
    </row>
    <row r="10" spans="1:10" ht="15">
      <c r="A10" s="77"/>
      <c r="B10" s="25"/>
      <c r="C10" t="s">
        <v>128</v>
      </c>
      <c r="D10" s="80">
        <v>5.0000000000000001E-3</v>
      </c>
    </row>
    <row r="11" spans="1:10" ht="15">
      <c r="A11" s="77"/>
      <c r="B11" s="28"/>
      <c r="C11" s="28" t="s">
        <v>129</v>
      </c>
      <c r="D11" s="81">
        <v>4.0000000000000001E-3</v>
      </c>
    </row>
    <row r="14" spans="1:10" ht="15">
      <c r="A14" s="76" t="s">
        <v>130</v>
      </c>
      <c r="G14" s="87">
        <f>50*20.88</f>
        <v>1044</v>
      </c>
      <c r="H14" s="87">
        <f>100*20.88</f>
        <v>2088</v>
      </c>
      <c r="I14" s="29">
        <f>200*20.88</f>
        <v>4176</v>
      </c>
    </row>
    <row r="15" spans="1:10" ht="15">
      <c r="C15" s="77">
        <v>0</v>
      </c>
      <c r="D15" s="77">
        <v>100</v>
      </c>
      <c r="E15" s="77">
        <v>200</v>
      </c>
      <c r="G15" s="87">
        <f>100*20.88</f>
        <v>2088</v>
      </c>
      <c r="H15" s="87">
        <f>200*20.88</f>
        <v>4176</v>
      </c>
      <c r="I15" s="87">
        <f>400*20.88</f>
        <v>8352</v>
      </c>
      <c r="J15" s="1"/>
    </row>
    <row r="16" spans="1:10">
      <c r="B16" s="82"/>
      <c r="C16" s="83" t="s">
        <v>121</v>
      </c>
      <c r="D16" s="84"/>
      <c r="E16" s="85"/>
      <c r="G16" s="306" t="s">
        <v>315</v>
      </c>
      <c r="H16" s="306"/>
      <c r="I16" s="306"/>
    </row>
    <row r="17" spans="1:12">
      <c r="B17" s="28"/>
      <c r="C17" s="86" t="s">
        <v>127</v>
      </c>
      <c r="D17" s="87" t="s">
        <v>128</v>
      </c>
      <c r="E17" s="88" t="s">
        <v>129</v>
      </c>
      <c r="G17" s="230" t="str">
        <f>TEXT(G14,"0")&amp;" to " &amp; TEXT(G15,"0")</f>
        <v>1044 to 2088</v>
      </c>
      <c r="H17" s="230" t="str">
        <f>TEXT(H14,"0")&amp;" to " &amp; TEXT(H15,"0")</f>
        <v>2088 to 4176</v>
      </c>
      <c r="I17" s="230" t="str">
        <f>TEXT(I14,"0")&amp;" to " &amp; TEXT(I15,"0")</f>
        <v>4176 to 8352</v>
      </c>
    </row>
    <row r="18" spans="1:12" ht="15">
      <c r="B18" s="89" t="s">
        <v>131</v>
      </c>
      <c r="C18" s="59"/>
      <c r="D18" s="82"/>
      <c r="E18" s="22"/>
      <c r="F18" s="35" t="s">
        <v>131</v>
      </c>
      <c r="I18" s="1"/>
      <c r="K18" s="45"/>
      <c r="L18" s="45"/>
    </row>
    <row r="19" spans="1:12" ht="15">
      <c r="B19" s="25" t="s">
        <v>132</v>
      </c>
      <c r="C19" s="90">
        <v>140000</v>
      </c>
      <c r="D19" s="91">
        <v>270000</v>
      </c>
      <c r="E19" s="92">
        <v>540000</v>
      </c>
      <c r="F19" s="93">
        <v>140000</v>
      </c>
      <c r="G19" s="228">
        <f t="shared" ref="G19:I20" si="0">C19/272</f>
        <v>514.70588235294122</v>
      </c>
      <c r="H19" s="228">
        <f t="shared" si="0"/>
        <v>992.64705882352939</v>
      </c>
      <c r="I19" s="228">
        <f t="shared" si="0"/>
        <v>1985.2941176470588</v>
      </c>
      <c r="K19" s="45"/>
      <c r="L19" s="45"/>
    </row>
    <row r="20" spans="1:12" ht="15">
      <c r="B20" s="25" t="s">
        <v>133</v>
      </c>
      <c r="C20" s="90">
        <v>50000</v>
      </c>
      <c r="D20" s="91">
        <v>110000</v>
      </c>
      <c r="E20" s="92">
        <v>220000</v>
      </c>
      <c r="F20" s="93">
        <v>50000</v>
      </c>
      <c r="G20" s="228">
        <f t="shared" si="0"/>
        <v>183.8235294117647</v>
      </c>
      <c r="H20" s="228">
        <f t="shared" si="0"/>
        <v>404.41176470588238</v>
      </c>
      <c r="I20" s="228">
        <f t="shared" si="0"/>
        <v>808.82352941176475</v>
      </c>
      <c r="K20" s="45"/>
      <c r="L20" s="45"/>
    </row>
    <row r="21" spans="1:12" ht="15">
      <c r="B21" s="28"/>
      <c r="C21" s="94"/>
      <c r="D21" s="95"/>
      <c r="E21" s="96"/>
      <c r="I21" s="1"/>
    </row>
    <row r="22" spans="1:12" ht="15">
      <c r="B22" s="97" t="s">
        <v>134</v>
      </c>
      <c r="C22" s="98" t="s">
        <v>135</v>
      </c>
      <c r="D22" s="99" t="s">
        <v>124</v>
      </c>
      <c r="E22" s="100" t="s">
        <v>136</v>
      </c>
      <c r="I22" s="1"/>
    </row>
    <row r="23" spans="1:12" ht="15">
      <c r="B23" s="25" t="s">
        <v>137</v>
      </c>
      <c r="C23" s="90">
        <v>5000</v>
      </c>
      <c r="D23" s="91">
        <v>15000</v>
      </c>
      <c r="E23" s="92">
        <v>35000</v>
      </c>
      <c r="I23" s="1"/>
    </row>
    <row r="24" spans="1:12" ht="15">
      <c r="B24" s="28" t="s">
        <v>138</v>
      </c>
      <c r="C24" s="94">
        <v>7000</v>
      </c>
      <c r="D24" s="95">
        <v>25000</v>
      </c>
      <c r="E24" s="96">
        <v>60000</v>
      </c>
      <c r="I24" s="1"/>
    </row>
    <row r="25" spans="1:12" ht="15">
      <c r="C25" s="101"/>
      <c r="D25" s="101"/>
      <c r="E25" s="101"/>
    </row>
    <row r="27" spans="1:12">
      <c r="B27" t="s">
        <v>139</v>
      </c>
      <c r="C27" t="s">
        <v>140</v>
      </c>
    </row>
    <row r="28" spans="1:12">
      <c r="C28" t="s">
        <v>141</v>
      </c>
    </row>
    <row r="29" spans="1:12">
      <c r="A29" s="35" t="s">
        <v>211</v>
      </c>
    </row>
    <row r="30" spans="1:12">
      <c r="A30" s="1" t="s">
        <v>214</v>
      </c>
    </row>
    <row r="31" spans="1:12" ht="15">
      <c r="A31" s="5"/>
      <c r="B31" s="1" t="s">
        <v>212</v>
      </c>
    </row>
    <row r="32" spans="1:12">
      <c r="A32" s="2"/>
      <c r="B32" s="1" t="s">
        <v>213</v>
      </c>
    </row>
    <row r="33" spans="1:15">
      <c r="A33" s="6"/>
      <c r="B33" s="1" t="s">
        <v>215</v>
      </c>
    </row>
    <row r="34" spans="1:15">
      <c r="A34" s="69"/>
      <c r="B34" s="1" t="s">
        <v>216</v>
      </c>
      <c r="H34" s="35"/>
      <c r="I34" s="2"/>
    </row>
    <row r="35" spans="1:15" ht="15">
      <c r="A35" s="21"/>
      <c r="B35" s="1" t="s">
        <v>217</v>
      </c>
      <c r="H35" s="35"/>
      <c r="I35" s="2"/>
    </row>
    <row r="36" spans="1:15">
      <c r="A36" s="1" t="s">
        <v>218</v>
      </c>
      <c r="H36" s="35"/>
      <c r="I36" s="2"/>
    </row>
    <row r="37" spans="1:15">
      <c r="A37" s="1"/>
      <c r="B37" s="2" t="s">
        <v>222</v>
      </c>
      <c r="H37" s="35"/>
      <c r="I37" s="2"/>
    </row>
    <row r="38" spans="1:15">
      <c r="A38" s="1"/>
      <c r="B38" s="3" t="s">
        <v>220</v>
      </c>
      <c r="H38" s="35"/>
      <c r="I38" s="2"/>
    </row>
    <row r="39" spans="1:15">
      <c r="A39" s="1"/>
      <c r="B39" s="3" t="s">
        <v>219</v>
      </c>
      <c r="H39" s="35"/>
      <c r="I39" s="2"/>
    </row>
    <row r="40" spans="1:15">
      <c r="A40" s="1"/>
      <c r="B40" s="3" t="s">
        <v>221</v>
      </c>
      <c r="H40" s="35"/>
      <c r="I40" s="2"/>
    </row>
    <row r="41" spans="1:15">
      <c r="A41" s="1"/>
      <c r="B41" s="2" t="s">
        <v>223</v>
      </c>
      <c r="H41" s="35"/>
      <c r="I41" s="2"/>
    </row>
    <row r="42" spans="1:15">
      <c r="A42" s="1"/>
      <c r="B42" s="2" t="s">
        <v>224</v>
      </c>
      <c r="H42" s="35"/>
      <c r="I42" s="2"/>
    </row>
    <row r="43" spans="1:15">
      <c r="A43" s="1"/>
      <c r="B43" s="1" t="s">
        <v>225</v>
      </c>
      <c r="H43" s="35"/>
      <c r="I43" s="2"/>
    </row>
    <row r="44" spans="1:15">
      <c r="A44" s="1"/>
      <c r="B44" s="1" t="s">
        <v>253</v>
      </c>
      <c r="H44" s="35"/>
      <c r="I44" s="2"/>
    </row>
    <row r="45" spans="1:15">
      <c r="A45" s="1"/>
      <c r="B45" s="1"/>
      <c r="H45" s="35"/>
      <c r="I45" s="2"/>
      <c r="M45" s="1"/>
    </row>
    <row r="46" spans="1:15">
      <c r="A46" s="6" t="s">
        <v>226</v>
      </c>
      <c r="B46" s="1"/>
      <c r="H46" s="35"/>
      <c r="I46" s="2"/>
      <c r="M46" s="1"/>
      <c r="N46" s="45"/>
    </row>
    <row r="47" spans="1:15">
      <c r="A47" s="70"/>
      <c r="B47" s="1"/>
      <c r="H47" s="35"/>
      <c r="I47" s="2"/>
      <c r="M47" s="1"/>
    </row>
    <row r="48" spans="1:15">
      <c r="A48" s="1"/>
      <c r="B48" s="35" t="s">
        <v>58</v>
      </c>
      <c r="H48" s="35"/>
      <c r="I48" s="2"/>
      <c r="L48" s="2"/>
      <c r="O48" s="2"/>
    </row>
    <row r="49" spans="1:15">
      <c r="A49" s="1"/>
      <c r="B49" s="58" t="s">
        <v>236</v>
      </c>
      <c r="C49" s="59"/>
      <c r="D49" s="122">
        <v>80</v>
      </c>
      <c r="E49" s="135">
        <v>100</v>
      </c>
      <c r="F49" s="122">
        <v>220</v>
      </c>
      <c r="G49" s="130">
        <v>340</v>
      </c>
      <c r="H49" s="35"/>
      <c r="I49" s="2"/>
    </row>
    <row r="50" spans="1:15">
      <c r="A50" s="1"/>
      <c r="B50" s="61" t="s">
        <v>159</v>
      </c>
      <c r="D50" s="123">
        <v>13.9</v>
      </c>
      <c r="E50" s="136">
        <v>0</v>
      </c>
      <c r="F50" s="123">
        <v>5.5555555555555598</v>
      </c>
      <c r="G50" s="131">
        <v>20.833333333333332</v>
      </c>
      <c r="H50" s="35"/>
      <c r="I50" s="2"/>
    </row>
    <row r="51" spans="1:15">
      <c r="B51" s="61" t="s">
        <v>160</v>
      </c>
      <c r="D51" s="124">
        <v>0</v>
      </c>
      <c r="E51" s="129">
        <v>30</v>
      </c>
      <c r="F51" s="124">
        <v>0</v>
      </c>
      <c r="G51" s="134">
        <v>0</v>
      </c>
      <c r="H51" s="35"/>
      <c r="I51" s="2"/>
    </row>
    <row r="52" spans="1:15">
      <c r="A52" s="35"/>
      <c r="B52" s="61" t="s">
        <v>161</v>
      </c>
      <c r="D52" s="125">
        <v>7.2337962962963007E-2</v>
      </c>
      <c r="E52" s="137">
        <v>3.4722222222222224E-2</v>
      </c>
      <c r="F52" s="125">
        <v>3.4722222222222224E-2</v>
      </c>
      <c r="G52" s="132">
        <v>3.4722222222222224E-2</v>
      </c>
      <c r="H52" s="35"/>
      <c r="I52" s="2"/>
    </row>
    <row r="53" spans="1:15">
      <c r="A53" s="1"/>
      <c r="B53" s="62" t="s">
        <v>119</v>
      </c>
      <c r="D53" s="126">
        <v>5.0000000000000001E-3</v>
      </c>
      <c r="E53" s="138"/>
      <c r="F53" s="126">
        <v>0.02</v>
      </c>
      <c r="G53" s="133">
        <v>5.0000000000000001E-3</v>
      </c>
      <c r="H53" s="35"/>
      <c r="I53" s="2"/>
    </row>
    <row r="54" spans="1:15">
      <c r="A54" s="1"/>
      <c r="B54" s="62" t="s">
        <v>56</v>
      </c>
      <c r="D54" s="124">
        <v>2</v>
      </c>
      <c r="E54" s="129">
        <v>3</v>
      </c>
      <c r="F54" s="124">
        <v>1</v>
      </c>
      <c r="G54" s="134">
        <v>2</v>
      </c>
      <c r="H54" s="35"/>
      <c r="I54" s="2"/>
    </row>
    <row r="55" spans="1:15">
      <c r="A55" s="1"/>
      <c r="B55" s="62" t="s">
        <v>57</v>
      </c>
      <c r="D55" s="124">
        <v>1000</v>
      </c>
      <c r="E55" s="129">
        <v>60</v>
      </c>
      <c r="F55" s="124">
        <v>200</v>
      </c>
      <c r="G55" s="134">
        <v>1200</v>
      </c>
      <c r="H55" s="35"/>
      <c r="I55" s="2"/>
    </row>
    <row r="56" spans="1:15">
      <c r="A56" s="35"/>
      <c r="B56" s="61" t="s">
        <v>185</v>
      </c>
      <c r="D56" s="38">
        <v>40</v>
      </c>
      <c r="E56" s="147">
        <v>190</v>
      </c>
      <c r="F56" s="41">
        <v>297.93103448275832</v>
      </c>
      <c r="G56" s="148">
        <v>277.63</v>
      </c>
      <c r="H56" s="161"/>
      <c r="I56" s="2"/>
    </row>
    <row r="57" spans="1:15">
      <c r="A57" s="35"/>
      <c r="B57" s="65" t="s">
        <v>186</v>
      </c>
      <c r="C57" s="64"/>
      <c r="D57" s="149">
        <v>60</v>
      </c>
      <c r="E57" s="150">
        <v>120</v>
      </c>
      <c r="F57" s="151">
        <v>240</v>
      </c>
      <c r="G57" s="152">
        <v>360</v>
      </c>
      <c r="H57" s="35"/>
      <c r="I57" s="2"/>
    </row>
    <row r="58" spans="1:15">
      <c r="I58" s="2"/>
    </row>
    <row r="59" spans="1:15">
      <c r="N59" s="1"/>
    </row>
    <row r="60" spans="1:15">
      <c r="A60" s="35" t="s">
        <v>232</v>
      </c>
      <c r="C60" s="156" t="s">
        <v>227</v>
      </c>
      <c r="D60" s="84"/>
      <c r="E60" s="157" t="s">
        <v>228</v>
      </c>
      <c r="N60" s="1"/>
    </row>
    <row r="61" spans="1:15">
      <c r="C61" s="154" t="s">
        <v>33</v>
      </c>
      <c r="D61" s="157" t="s">
        <v>229</v>
      </c>
      <c r="E61" s="158" t="s">
        <v>229</v>
      </c>
      <c r="O61" s="1"/>
    </row>
    <row r="62" spans="1:15">
      <c r="C62" s="155" t="s">
        <v>230</v>
      </c>
      <c r="D62" s="36" t="s">
        <v>231</v>
      </c>
      <c r="E62" s="36" t="s">
        <v>231</v>
      </c>
      <c r="O62" s="1"/>
    </row>
    <row r="63" spans="1:15">
      <c r="C63" s="62">
        <v>0</v>
      </c>
      <c r="D63" s="159">
        <v>0</v>
      </c>
      <c r="E63" s="159">
        <f t="array" ref="E63:E79">py624tab($D$49:$D$57,Examples!$E$59:$F$61,Examples!$E$5:$E$11,C63:C79)</f>
        <v>0</v>
      </c>
    </row>
    <row r="64" spans="1:15">
      <c r="C64" s="62">
        <v>0.48</v>
      </c>
      <c r="D64" s="159">
        <v>956.75300000000004</v>
      </c>
      <c r="E64" s="159">
        <v>957.00028011612972</v>
      </c>
    </row>
    <row r="65" spans="3:5">
      <c r="C65" s="62">
        <v>0.96</v>
      </c>
      <c r="D65" s="159">
        <v>1137.777</v>
      </c>
      <c r="E65" s="159">
        <v>1138.0715421736986</v>
      </c>
    </row>
    <row r="66" spans="3:5">
      <c r="C66" s="62">
        <v>1.44</v>
      </c>
      <c r="D66" s="159">
        <v>1259.1579999999999</v>
      </c>
      <c r="E66" s="159">
        <v>1259.4831990490943</v>
      </c>
    </row>
    <row r="67" spans="3:5">
      <c r="C67" s="62">
        <v>1.92</v>
      </c>
      <c r="D67" s="159">
        <v>1353</v>
      </c>
      <c r="E67" s="159">
        <v>1353.4027753350817</v>
      </c>
    </row>
    <row r="68" spans="3:5">
      <c r="C68" s="62">
        <v>2.4</v>
      </c>
      <c r="D68" s="159">
        <v>1431</v>
      </c>
      <c r="E68" s="159">
        <v>1431.0492025000212</v>
      </c>
    </row>
    <row r="69" spans="3:5">
      <c r="C69" s="62">
        <v>2.88</v>
      </c>
      <c r="D69" s="159">
        <v>1497</v>
      </c>
      <c r="E69" s="159">
        <v>1497.7863815355711</v>
      </c>
    </row>
    <row r="70" spans="3:5">
      <c r="C70" s="62">
        <v>3.36</v>
      </c>
      <c r="D70" s="159">
        <v>1556</v>
      </c>
      <c r="E70" s="159">
        <v>1556.6342251751121</v>
      </c>
    </row>
    <row r="71" spans="3:5">
      <c r="C71" s="62">
        <v>3.84</v>
      </c>
      <c r="D71" s="159">
        <v>1609</v>
      </c>
      <c r="E71" s="159">
        <v>1609.4762098929084</v>
      </c>
    </row>
    <row r="72" spans="3:5">
      <c r="C72" s="62">
        <v>4.32</v>
      </c>
      <c r="D72" s="159">
        <v>1657</v>
      </c>
      <c r="E72" s="159">
        <v>1657.5731080187843</v>
      </c>
    </row>
    <row r="73" spans="3:5">
      <c r="C73" s="62">
        <v>4.8</v>
      </c>
      <c r="D73" s="159">
        <v>1701</v>
      </c>
      <c r="E73" s="159">
        <v>1701.8138935319951</v>
      </c>
    </row>
    <row r="74" spans="3:5">
      <c r="C74" s="62">
        <v>5.28</v>
      </c>
      <c r="D74" s="159">
        <v>1742</v>
      </c>
      <c r="E74" s="159">
        <v>1742.8509046402146</v>
      </c>
    </row>
    <row r="75" spans="3:5">
      <c r="C75" s="62">
        <v>5.76</v>
      </c>
      <c r="D75" s="159">
        <v>1781</v>
      </c>
      <c r="E75" s="159">
        <v>1781.1782216762813</v>
      </c>
    </row>
    <row r="76" spans="3:5">
      <c r="C76" s="62">
        <v>6.24</v>
      </c>
      <c r="D76" s="159">
        <v>1817</v>
      </c>
      <c r="E76" s="159">
        <v>1817.1798103575652</v>
      </c>
    </row>
    <row r="77" spans="3:5">
      <c r="C77" s="62">
        <v>6.72</v>
      </c>
      <c r="D77" s="159">
        <v>1851</v>
      </c>
      <c r="E77" s="159">
        <v>1851.1604960349912</v>
      </c>
    </row>
    <row r="78" spans="3:5">
      <c r="C78" s="62">
        <v>7.2</v>
      </c>
      <c r="D78" s="159">
        <v>1883</v>
      </c>
      <c r="E78" s="159">
        <v>1883.366666666667</v>
      </c>
    </row>
    <row r="79" spans="3:5">
      <c r="C79" s="62">
        <v>9</v>
      </c>
      <c r="D79" s="159">
        <v>1883</v>
      </c>
      <c r="E79" s="159">
        <v>1883.366666666667</v>
      </c>
    </row>
    <row r="80" spans="3:5">
      <c r="C80" s="31"/>
      <c r="D80" s="28"/>
      <c r="E80" s="28"/>
    </row>
    <row r="82" spans="1:5">
      <c r="A82" s="35" t="s">
        <v>233</v>
      </c>
      <c r="C82" s="156" t="s">
        <v>227</v>
      </c>
      <c r="D82" s="84"/>
      <c r="E82" s="157" t="s">
        <v>228</v>
      </c>
    </row>
    <row r="83" spans="1:5">
      <c r="A83" s="1"/>
      <c r="C83" s="154" t="s">
        <v>33</v>
      </c>
      <c r="D83" s="157" t="s">
        <v>229</v>
      </c>
      <c r="E83" s="158" t="s">
        <v>229</v>
      </c>
    </row>
    <row r="84" spans="1:5">
      <c r="C84" s="155" t="s">
        <v>230</v>
      </c>
      <c r="D84" s="36" t="s">
        <v>231</v>
      </c>
      <c r="E84" s="36" t="s">
        <v>231</v>
      </c>
    </row>
    <row r="85" spans="1:5">
      <c r="C85" s="62">
        <v>0</v>
      </c>
      <c r="D85" s="159">
        <v>0</v>
      </c>
      <c r="E85" s="159">
        <f t="array" ref="E85:E99">py624tab($E$49:$E$57,Examples!$E$59:$F$61,Examples!$E$5:$E$11,C85:C99)</f>
        <v>0</v>
      </c>
    </row>
    <row r="86" spans="1:5">
      <c r="C86" s="62">
        <v>0.05</v>
      </c>
      <c r="D86" s="159">
        <v>371</v>
      </c>
      <c r="E86" s="159">
        <v>360</v>
      </c>
    </row>
    <row r="87" spans="1:5">
      <c r="C87" s="62">
        <v>0.1</v>
      </c>
      <c r="D87" s="159">
        <v>742</v>
      </c>
      <c r="E87" s="159">
        <v>720</v>
      </c>
    </row>
    <row r="88" spans="1:5">
      <c r="A88" s="8"/>
      <c r="C88" s="62">
        <v>0.15</v>
      </c>
      <c r="D88" s="159">
        <v>1094</v>
      </c>
      <c r="E88" s="159">
        <v>1076.3416478126446</v>
      </c>
    </row>
    <row r="89" spans="1:5">
      <c r="A89" s="45"/>
      <c r="C89" s="62">
        <v>0.2</v>
      </c>
      <c r="D89" s="159">
        <v>1216</v>
      </c>
      <c r="E89" s="159">
        <v>1199.3783506577163</v>
      </c>
    </row>
    <row r="90" spans="1:5">
      <c r="C90" s="62">
        <v>0.25</v>
      </c>
      <c r="D90" s="159">
        <v>1321</v>
      </c>
      <c r="E90" s="159">
        <v>1304.4184660373676</v>
      </c>
    </row>
    <row r="91" spans="1:5">
      <c r="C91" s="62">
        <v>0.3</v>
      </c>
      <c r="D91" s="159">
        <v>1413</v>
      </c>
      <c r="E91" s="159">
        <v>1397.0357706326993</v>
      </c>
    </row>
    <row r="92" spans="1:5">
      <c r="C92" s="62">
        <v>0.35</v>
      </c>
      <c r="D92" s="159">
        <v>1496</v>
      </c>
      <c r="E92" s="159">
        <v>1480.4546534937663</v>
      </c>
    </row>
    <row r="93" spans="1:5">
      <c r="C93" s="62">
        <v>0.4</v>
      </c>
      <c r="D93" s="159">
        <v>1572</v>
      </c>
      <c r="E93" s="159">
        <v>1556.7310451996375</v>
      </c>
    </row>
    <row r="94" spans="1:5">
      <c r="C94" s="62">
        <v>0.45</v>
      </c>
      <c r="D94" s="159">
        <v>1642</v>
      </c>
      <c r="E94" s="159">
        <v>1627.2671116308045</v>
      </c>
    </row>
    <row r="95" spans="1:5">
      <c r="C95" s="62">
        <v>0.5</v>
      </c>
      <c r="D95" s="159">
        <v>1707</v>
      </c>
      <c r="E95" s="159">
        <v>1693.0676803516599</v>
      </c>
    </row>
    <row r="96" spans="1:5">
      <c r="C96" s="62">
        <v>0.55000000000000004</v>
      </c>
      <c r="D96" s="159">
        <v>1768</v>
      </c>
      <c r="E96" s="159">
        <v>1754.8807431919558</v>
      </c>
    </row>
    <row r="97" spans="1:15">
      <c r="C97" s="62">
        <v>0.6</v>
      </c>
      <c r="D97" s="159">
        <v>1826</v>
      </c>
      <c r="E97" s="159">
        <v>1813.2801498423744</v>
      </c>
    </row>
    <row r="98" spans="1:15">
      <c r="C98" s="62">
        <v>1.35</v>
      </c>
      <c r="D98" s="159">
        <v>2669</v>
      </c>
      <c r="E98" s="159">
        <v>2666.049657503936</v>
      </c>
    </row>
    <row r="99" spans="1:15">
      <c r="C99" s="62">
        <v>1.5</v>
      </c>
      <c r="D99" s="159">
        <f>D98</f>
        <v>2669</v>
      </c>
      <c r="E99" s="159">
        <v>2666.049657503936</v>
      </c>
    </row>
    <row r="100" spans="1:15">
      <c r="C100" s="62"/>
      <c r="D100" s="159"/>
      <c r="E100" s="159"/>
    </row>
    <row r="101" spans="1:15">
      <c r="C101" s="62"/>
      <c r="D101" s="159"/>
      <c r="E101" s="159"/>
    </row>
    <row r="102" spans="1:15">
      <c r="C102" s="31"/>
      <c r="D102" s="28"/>
      <c r="E102" s="28"/>
    </row>
    <row r="104" spans="1:15">
      <c r="A104" s="35" t="s">
        <v>234</v>
      </c>
      <c r="C104" s="156" t="s">
        <v>227</v>
      </c>
      <c r="D104" s="84"/>
      <c r="E104" s="157" t="s">
        <v>228</v>
      </c>
    </row>
    <row r="105" spans="1:15">
      <c r="A105" s="1"/>
      <c r="C105" s="154" t="s">
        <v>33</v>
      </c>
      <c r="D105" s="157" t="s">
        <v>229</v>
      </c>
      <c r="E105" s="158" t="s">
        <v>229</v>
      </c>
      <c r="N105" s="1"/>
    </row>
    <row r="106" spans="1:15">
      <c r="C106" s="155" t="s">
        <v>230</v>
      </c>
      <c r="D106" s="36" t="s">
        <v>231</v>
      </c>
      <c r="E106" s="36" t="s">
        <v>231</v>
      </c>
      <c r="O106" s="1"/>
    </row>
    <row r="107" spans="1:15">
      <c r="C107" s="62">
        <v>0</v>
      </c>
      <c r="D107" s="159">
        <v>0</v>
      </c>
      <c r="E107" s="159">
        <f t="array" ref="E107:E121">py624tab($F$49:$F$57,Examples!$E$59:$F$61,Examples!$E$5:$E$11,C107:C121)</f>
        <v>0</v>
      </c>
    </row>
    <row r="108" spans="1:15">
      <c r="C108" s="62">
        <v>0.14000000000000001</v>
      </c>
      <c r="D108" s="159">
        <v>180</v>
      </c>
      <c r="E108" s="159">
        <v>384.17374949624815</v>
      </c>
    </row>
    <row r="109" spans="1:15">
      <c r="C109" s="62">
        <v>0.45</v>
      </c>
      <c r="D109" s="159">
        <v>567</v>
      </c>
      <c r="E109" s="159">
        <v>566.96447245269292</v>
      </c>
    </row>
    <row r="110" spans="1:15">
      <c r="C110" s="62">
        <v>0.9</v>
      </c>
      <c r="D110" s="159">
        <v>715</v>
      </c>
      <c r="E110" s="159">
        <v>714.33047338568974</v>
      </c>
    </row>
    <row r="111" spans="1:15">
      <c r="C111" s="62">
        <v>1.35</v>
      </c>
      <c r="D111" s="159">
        <v>818</v>
      </c>
      <c r="E111" s="159">
        <v>817.70426677446289</v>
      </c>
    </row>
    <row r="112" spans="1:15">
      <c r="C112" s="62">
        <v>1.8</v>
      </c>
      <c r="D112" s="159">
        <v>901</v>
      </c>
      <c r="E112" s="159">
        <v>899.99999999999989</v>
      </c>
    </row>
    <row r="113" spans="1:15">
      <c r="C113" s="62">
        <v>2.25</v>
      </c>
      <c r="D113" s="159">
        <v>970</v>
      </c>
      <c r="E113" s="159">
        <v>969.49561051434762</v>
      </c>
    </row>
    <row r="114" spans="1:15">
      <c r="C114" s="62">
        <v>2.7</v>
      </c>
      <c r="D114" s="159">
        <v>1031</v>
      </c>
      <c r="E114" s="159">
        <v>1030.2428182979986</v>
      </c>
    </row>
    <row r="115" spans="1:15">
      <c r="C115" s="62">
        <v>3.15</v>
      </c>
      <c r="D115" s="159">
        <v>1085</v>
      </c>
      <c r="E115" s="159">
        <v>1084.5640188788534</v>
      </c>
    </row>
    <row r="116" spans="1:15">
      <c r="C116" s="62">
        <v>3.6</v>
      </c>
      <c r="D116" s="159">
        <v>1134</v>
      </c>
      <c r="E116" s="159">
        <v>1133.9289449053858</v>
      </c>
    </row>
    <row r="117" spans="1:15">
      <c r="C117" s="62">
        <v>4.05</v>
      </c>
      <c r="D117" s="159">
        <v>1180</v>
      </c>
      <c r="E117" s="159">
        <v>1179.3336273940033</v>
      </c>
    </row>
    <row r="118" spans="1:15">
      <c r="C118" s="62">
        <v>4.5</v>
      </c>
      <c r="D118" s="159">
        <v>1222</v>
      </c>
      <c r="E118" s="159">
        <v>1221.4879274677078</v>
      </c>
    </row>
    <row r="119" spans="1:15">
      <c r="C119" s="62">
        <v>4.95</v>
      </c>
      <c r="D119" s="159">
        <v>1261</v>
      </c>
      <c r="E119" s="159">
        <v>1260.917698794924</v>
      </c>
    </row>
    <row r="120" spans="1:15">
      <c r="C120" s="62">
        <v>5.4</v>
      </c>
      <c r="D120" s="159">
        <v>1299</v>
      </c>
      <c r="E120" s="159">
        <v>1298.0246132766672</v>
      </c>
    </row>
    <row r="121" spans="1:15">
      <c r="C121" s="62">
        <v>14.4</v>
      </c>
      <c r="D121" s="159">
        <v>1801</v>
      </c>
      <c r="E121" s="159">
        <v>1799.9999999999998</v>
      </c>
    </row>
    <row r="122" spans="1:15">
      <c r="C122" s="31"/>
      <c r="D122" s="160"/>
      <c r="E122" s="160"/>
    </row>
    <row r="124" spans="1:15">
      <c r="A124" s="35" t="s">
        <v>235</v>
      </c>
      <c r="C124" s="156" t="s">
        <v>227</v>
      </c>
      <c r="D124" s="84"/>
      <c r="E124" s="157" t="s">
        <v>228</v>
      </c>
    </row>
    <row r="125" spans="1:15">
      <c r="B125" s="1"/>
      <c r="C125" s="154" t="s">
        <v>33</v>
      </c>
      <c r="D125" s="157" t="s">
        <v>229</v>
      </c>
      <c r="E125" s="158" t="s">
        <v>229</v>
      </c>
      <c r="N125" s="1"/>
    </row>
    <row r="126" spans="1:15">
      <c r="C126" s="155" t="s">
        <v>230</v>
      </c>
      <c r="D126" s="36" t="s">
        <v>231</v>
      </c>
      <c r="E126" s="36" t="s">
        <v>231</v>
      </c>
      <c r="O126" s="1"/>
    </row>
    <row r="127" spans="1:15">
      <c r="C127" s="62">
        <v>0</v>
      </c>
      <c r="D127" s="159">
        <v>0</v>
      </c>
      <c r="E127" s="159">
        <f t="array" ref="E127:E143">py624tab($G$49:$G$57,Examples!$E$59:$F$61,Examples!$E$5:$E$11,C127:C143)</f>
        <v>0</v>
      </c>
    </row>
    <row r="128" spans="1:15">
      <c r="C128" s="62">
        <v>0.48</v>
      </c>
      <c r="D128" s="159">
        <v>2790</v>
      </c>
      <c r="E128" s="159">
        <v>2789.1491234998161</v>
      </c>
    </row>
    <row r="129" spans="3:5">
      <c r="C129" s="62">
        <v>0.96</v>
      </c>
      <c r="D129" s="159">
        <v>3317</v>
      </c>
      <c r="E129" s="159">
        <v>3316.8759824695844</v>
      </c>
    </row>
    <row r="130" spans="3:5">
      <c r="C130" s="62">
        <v>1.44</v>
      </c>
      <c r="D130" s="159">
        <v>3671</v>
      </c>
      <c r="E130" s="159">
        <v>3670.72667968733</v>
      </c>
    </row>
    <row r="131" spans="3:5">
      <c r="C131" s="62">
        <v>1.92</v>
      </c>
      <c r="D131" s="159">
        <v>3944</v>
      </c>
      <c r="E131" s="159">
        <v>3944.452517934471</v>
      </c>
    </row>
    <row r="132" spans="3:5">
      <c r="C132" s="62">
        <v>2.4</v>
      </c>
      <c r="D132" s="159">
        <v>4171</v>
      </c>
      <c r="E132" s="159">
        <v>4170.7507424696851</v>
      </c>
    </row>
    <row r="133" spans="3:5">
      <c r="C133" s="62">
        <v>2.88</v>
      </c>
      <c r="D133" s="159">
        <v>4365</v>
      </c>
      <c r="E133" s="159">
        <v>4365.2542847144869</v>
      </c>
    </row>
    <row r="134" spans="3:5">
      <c r="C134" s="62">
        <v>3.36</v>
      </c>
      <c r="D134" s="159">
        <v>4537</v>
      </c>
      <c r="E134" s="159">
        <v>4536.7645913647229</v>
      </c>
    </row>
    <row r="135" spans="3:5">
      <c r="C135" s="62">
        <v>3.84</v>
      </c>
      <c r="D135" s="159">
        <v>4691</v>
      </c>
      <c r="E135" s="159">
        <v>4690.7709991180709</v>
      </c>
    </row>
    <row r="136" spans="3:5">
      <c r="C136" s="62">
        <v>4.32</v>
      </c>
      <c r="D136" s="159">
        <v>4831</v>
      </c>
      <c r="E136" s="159">
        <v>4830.9479917878825</v>
      </c>
    </row>
    <row r="137" spans="3:5">
      <c r="C137" s="62">
        <v>4.8</v>
      </c>
      <c r="D137" s="159">
        <v>4960</v>
      </c>
      <c r="E137" s="159">
        <v>4959.8864578478315</v>
      </c>
    </row>
    <row r="138" spans="3:5">
      <c r="C138" s="62">
        <v>5.28</v>
      </c>
      <c r="D138" s="159">
        <v>5080</v>
      </c>
      <c r="E138" s="159">
        <v>5079.4876177865244</v>
      </c>
    </row>
    <row r="139" spans="3:5">
      <c r="C139" s="62">
        <v>5.76</v>
      </c>
      <c r="D139" s="159">
        <v>5191</v>
      </c>
      <c r="E139" s="159">
        <v>5191.1914541785818</v>
      </c>
    </row>
    <row r="140" spans="3:5">
      <c r="C140" s="62">
        <v>6.24</v>
      </c>
      <c r="D140" s="159">
        <v>5296</v>
      </c>
      <c r="E140" s="159">
        <v>5296.1170237957795</v>
      </c>
    </row>
    <row r="141" spans="3:5">
      <c r="C141" s="62">
        <v>6.72</v>
      </c>
      <c r="D141" s="159">
        <v>5395</v>
      </c>
      <c r="E141" s="159">
        <v>5395.152731143341</v>
      </c>
    </row>
    <row r="142" spans="3:5">
      <c r="C142" s="62">
        <v>7.2</v>
      </c>
      <c r="D142" s="159">
        <v>5489</v>
      </c>
      <c r="E142" s="159">
        <v>5489.0166666666664</v>
      </c>
    </row>
    <row r="143" spans="3:5">
      <c r="C143" s="62">
        <v>9</v>
      </c>
      <c r="D143" s="159">
        <v>5489</v>
      </c>
      <c r="E143" s="159">
        <v>5489.0166666666664</v>
      </c>
    </row>
    <row r="144" spans="3:5">
      <c r="C144" s="31"/>
      <c r="D144" s="28"/>
      <c r="E144" s="28"/>
    </row>
  </sheetData>
  <mergeCells count="1">
    <mergeCell ref="G16:I16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C34"/>
  <sheetViews>
    <sheetView topLeftCell="A6" workbookViewId="0">
      <selection activeCell="I25" sqref="I25"/>
    </sheetView>
  </sheetViews>
  <sheetFormatPr defaultRowHeight="12.75"/>
  <cols>
    <col min="2" max="2" width="10.140625" bestFit="1" customWidth="1"/>
    <col min="4" max="4" width="9.7109375" customWidth="1"/>
  </cols>
  <sheetData>
    <row r="1" spans="1:10" ht="15.75">
      <c r="A1" s="9" t="s">
        <v>2</v>
      </c>
      <c r="B1" s="10"/>
      <c r="C1" s="10"/>
      <c r="D1" s="10"/>
      <c r="E1" s="10"/>
    </row>
    <row r="2" spans="1:10" ht="15.75">
      <c r="A2" s="9" t="s">
        <v>3</v>
      </c>
      <c r="B2" s="10"/>
      <c r="C2" s="10"/>
      <c r="D2" s="10"/>
      <c r="E2" s="10"/>
    </row>
    <row r="3" spans="1:10" ht="15.75">
      <c r="A3" s="9" t="s">
        <v>4</v>
      </c>
      <c r="B3" s="10"/>
      <c r="C3" s="10"/>
      <c r="D3" s="10"/>
      <c r="E3" s="10"/>
    </row>
    <row r="4" spans="1:10" ht="15.75">
      <c r="A4" s="9" t="s">
        <v>5</v>
      </c>
      <c r="B4" s="10"/>
      <c r="C4" s="10"/>
      <c r="D4" s="10"/>
      <c r="E4" s="10"/>
    </row>
    <row r="5" spans="1:10" ht="15.75">
      <c r="A5" s="9" t="s">
        <v>6</v>
      </c>
      <c r="B5" s="10"/>
      <c r="C5" s="10"/>
      <c r="D5" s="10"/>
      <c r="E5" s="10"/>
      <c r="J5" s="4"/>
    </row>
    <row r="6" spans="1:10" ht="15.75">
      <c r="A6" s="9"/>
      <c r="B6" s="10"/>
      <c r="C6" s="10"/>
      <c r="D6" s="10"/>
      <c r="E6" s="10"/>
      <c r="J6" s="4"/>
    </row>
    <row r="7" spans="1:10" ht="15.75">
      <c r="A7" s="9" t="s">
        <v>7</v>
      </c>
      <c r="B7" s="10"/>
      <c r="C7" s="10"/>
      <c r="D7" s="10"/>
      <c r="E7" s="10"/>
      <c r="J7" s="4"/>
    </row>
    <row r="8" spans="1:10" ht="15.75">
      <c r="A8" s="9" t="s">
        <v>8</v>
      </c>
      <c r="B8" s="10"/>
      <c r="C8" s="10"/>
      <c r="D8" s="10"/>
      <c r="E8" s="10"/>
      <c r="J8" s="4"/>
    </row>
    <row r="9" spans="1:10" ht="15.75">
      <c r="A9" s="9" t="s">
        <v>9</v>
      </c>
      <c r="B9" s="10"/>
      <c r="C9" s="10"/>
      <c r="D9" s="10"/>
      <c r="E9" s="10"/>
      <c r="J9" s="4"/>
    </row>
    <row r="10" spans="1:10" ht="15.75">
      <c r="A10" s="9" t="s">
        <v>10</v>
      </c>
      <c r="B10" s="10"/>
      <c r="C10" s="10"/>
      <c r="D10" s="10"/>
      <c r="E10" s="10"/>
      <c r="J10" s="4"/>
    </row>
    <row r="11" spans="1:10" ht="15.75">
      <c r="A11" s="9"/>
      <c r="B11" s="10"/>
      <c r="C11" s="10"/>
      <c r="D11" s="10"/>
      <c r="E11" s="10"/>
      <c r="J11" s="4"/>
    </row>
    <row r="12" spans="1:10" ht="15.75">
      <c r="A12" s="9" t="s">
        <v>11</v>
      </c>
      <c r="B12" s="10"/>
      <c r="C12" s="10"/>
      <c r="D12" s="10"/>
      <c r="E12" s="10"/>
      <c r="J12" s="4"/>
    </row>
    <row r="13" spans="1:10" ht="15.75">
      <c r="A13" s="11" t="s">
        <v>12</v>
      </c>
      <c r="B13" s="10"/>
      <c r="C13" s="10"/>
      <c r="D13" s="10"/>
      <c r="E13" s="10"/>
      <c r="J13" s="4"/>
    </row>
    <row r="14" spans="1:10" ht="15.75">
      <c r="A14" s="9" t="s">
        <v>13</v>
      </c>
      <c r="B14" s="10"/>
      <c r="C14" s="10"/>
      <c r="D14" s="10"/>
      <c r="E14" s="10"/>
      <c r="J14" s="4"/>
    </row>
    <row r="15" spans="1:10" ht="15.75">
      <c r="A15" s="9"/>
      <c r="B15" s="10"/>
      <c r="C15" s="10"/>
      <c r="D15" s="10"/>
      <c r="E15" s="10"/>
    </row>
    <row r="16" spans="1:10" ht="15">
      <c r="A16" s="12" t="s">
        <v>14</v>
      </c>
      <c r="B16" s="12"/>
      <c r="C16" s="12"/>
      <c r="D16" s="12"/>
      <c r="E16" s="12"/>
    </row>
    <row r="17" spans="1:29" ht="15">
      <c r="A17" s="13" t="s">
        <v>15</v>
      </c>
      <c r="B17" s="10"/>
      <c r="C17" s="10"/>
      <c r="D17" s="10"/>
      <c r="E17" s="10"/>
    </row>
    <row r="18" spans="1:29" ht="15">
      <c r="A18" s="13" t="s">
        <v>16</v>
      </c>
      <c r="B18" s="10"/>
      <c r="C18" s="10"/>
      <c r="D18" s="10"/>
      <c r="E18" s="10"/>
    </row>
    <row r="19" spans="1:29" ht="15">
      <c r="A19" s="13" t="s">
        <v>26</v>
      </c>
      <c r="B19" s="10"/>
      <c r="C19" s="10"/>
      <c r="D19" s="14"/>
      <c r="E19" s="10"/>
    </row>
    <row r="20" spans="1:29" ht="18">
      <c r="A20" s="15" t="s">
        <v>17</v>
      </c>
      <c r="B20" s="16" t="s">
        <v>168</v>
      </c>
      <c r="C20" s="10"/>
      <c r="D20" s="10"/>
      <c r="E20" s="10"/>
    </row>
    <row r="21" spans="1:29" ht="15.75">
      <c r="A21" s="17"/>
      <c r="B21" s="10"/>
      <c r="C21" s="10"/>
      <c r="D21" s="10"/>
      <c r="E21" s="10"/>
    </row>
    <row r="22" spans="1:29" ht="15">
      <c r="A22" s="10"/>
      <c r="B22" s="10"/>
      <c r="C22" s="10"/>
      <c r="D22" s="10"/>
      <c r="E22" s="10"/>
    </row>
    <row r="23" spans="1:29" ht="15.75">
      <c r="A23" s="18" t="s">
        <v>18</v>
      </c>
      <c r="B23" s="18"/>
      <c r="C23" s="18"/>
      <c r="D23" s="18"/>
      <c r="E23" s="10"/>
      <c r="V23" s="1"/>
      <c r="W23" s="1"/>
      <c r="X23" s="1"/>
      <c r="Y23" s="1"/>
      <c r="Z23" s="1"/>
      <c r="AA23" s="1"/>
      <c r="AB23" s="1"/>
      <c r="AC23" s="1"/>
    </row>
    <row r="24" spans="1:29" ht="15.75">
      <c r="A24" s="18"/>
      <c r="B24" s="18"/>
      <c r="C24" s="18"/>
      <c r="D24" s="18"/>
      <c r="E24" s="10"/>
      <c r="Y24" s="1"/>
    </row>
    <row r="25" spans="1:29" ht="15.75">
      <c r="A25" s="18" t="s">
        <v>19</v>
      </c>
      <c r="B25" s="18"/>
      <c r="C25" s="19">
        <v>1.04</v>
      </c>
      <c r="D25" s="20">
        <v>41094</v>
      </c>
      <c r="E25" s="10"/>
      <c r="Y25" s="1"/>
    </row>
    <row r="26" spans="1:29" ht="15.75">
      <c r="A26" s="18"/>
      <c r="B26" s="18"/>
      <c r="C26" s="18"/>
      <c r="D26" s="18"/>
      <c r="E26" s="10"/>
      <c r="Y26" s="1"/>
    </row>
    <row r="27" spans="1:29" ht="15.75">
      <c r="A27" s="18" t="s">
        <v>20</v>
      </c>
      <c r="B27" s="18" t="s">
        <v>21</v>
      </c>
      <c r="C27" s="18" t="s">
        <v>22</v>
      </c>
      <c r="D27" s="18" t="s">
        <v>23</v>
      </c>
      <c r="E27" s="10"/>
      <c r="Y27" s="1"/>
    </row>
    <row r="28" spans="1:29" ht="15.75">
      <c r="A28" s="18"/>
      <c r="B28" s="18"/>
      <c r="C28" s="18"/>
      <c r="D28" s="18"/>
      <c r="E28" s="10"/>
      <c r="Y28" s="1"/>
    </row>
    <row r="29" spans="1:29" ht="15.75">
      <c r="A29" s="19">
        <v>1</v>
      </c>
      <c r="B29" s="20">
        <v>40376</v>
      </c>
      <c r="C29" s="18" t="s">
        <v>24</v>
      </c>
      <c r="D29" s="18" t="s">
        <v>25</v>
      </c>
      <c r="E29" s="10"/>
      <c r="Y29" s="1"/>
    </row>
    <row r="30" spans="1:29" ht="15">
      <c r="A30" s="19">
        <v>1.01</v>
      </c>
      <c r="B30" s="20">
        <v>40554</v>
      </c>
      <c r="C30" s="18" t="s">
        <v>24</v>
      </c>
      <c r="D30" s="18" t="s">
        <v>163</v>
      </c>
      <c r="Y30" s="1"/>
    </row>
    <row r="31" spans="1:29" ht="15">
      <c r="A31" s="19">
        <v>1.02</v>
      </c>
      <c r="B31" s="20">
        <v>40929</v>
      </c>
      <c r="C31" s="18" t="s">
        <v>24</v>
      </c>
      <c r="D31" s="18" t="s">
        <v>237</v>
      </c>
      <c r="Y31" s="1"/>
    </row>
    <row r="32" spans="1:29" ht="15">
      <c r="A32" s="173">
        <v>1.03</v>
      </c>
      <c r="B32" s="174">
        <v>40934</v>
      </c>
      <c r="C32" s="172" t="s">
        <v>24</v>
      </c>
      <c r="D32" s="172" t="s">
        <v>259</v>
      </c>
      <c r="E32" s="171"/>
      <c r="Y32" s="1"/>
    </row>
    <row r="33" spans="1:25">
      <c r="A33">
        <v>1.04</v>
      </c>
      <c r="B33" s="175">
        <v>41094</v>
      </c>
      <c r="C33" t="s">
        <v>24</v>
      </c>
      <c r="D33" t="s">
        <v>260</v>
      </c>
      <c r="Y33" s="1"/>
    </row>
    <row r="34" spans="1:25">
      <c r="Y34" s="1"/>
    </row>
  </sheetData>
  <hyperlinks>
    <hyperlink ref="A19" r:id="rId1" xr:uid="{00000000-0004-0000-0400-000000000000}"/>
    <hyperlink ref="A18" r:id="rId2" xr:uid="{00000000-0004-0000-0400-000001000000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02B31-53C1-4CA0-8318-72B1E6953D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INPUT_CALCS</vt:lpstr>
      <vt:lpstr>Function Index</vt:lpstr>
      <vt:lpstr>Examples</vt:lpstr>
      <vt:lpstr>SoilProps</vt:lpstr>
      <vt:lpstr>About</vt:lpstr>
      <vt:lpstr>COHESION_C</vt:lpstr>
      <vt:lpstr>COHESION_PHI</vt:lpstr>
      <vt:lpstr>DEFAULT_TABLE</vt:lpstr>
      <vt:lpstr>deflection</vt:lpstr>
      <vt:lpstr>LOADS</vt:lpstr>
      <vt:lpstr>PHI_C</vt:lpstr>
      <vt:lpstr>INPUT_CALCS!PHI_EPSILON</vt:lpstr>
      <vt:lpstr>PHI_K</vt:lpstr>
      <vt:lpstr>pile_length</vt:lpstr>
      <vt:lpstr>SB_03_SOIL_PROPERTIES</vt:lpstr>
      <vt:lpstr>SECTION_TABLE</vt:lpstr>
      <vt:lpstr>SEGMENTS</vt:lpstr>
      <vt:lpstr>SHEAR_LBF</vt:lpstr>
      <vt:lpstr>SL_1</vt:lpstr>
      <vt:lpstr>SL_2</vt:lpstr>
      <vt:lpstr>SL_3</vt:lpstr>
      <vt:lpstr>SL_4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LATERAL ANALYSIS OF PILES</dc:title>
  <dc:creator>SRS1 Software</dc:creator>
  <dc:description>This is a vba implementation of a cubic_spline function.</dc:description>
  <cp:lastModifiedBy>Michael S. Jones</cp:lastModifiedBy>
  <cp:revision>1</cp:revision>
  <dcterms:created xsi:type="dcterms:W3CDTF">2001-03-31T08:29:09Z</dcterms:created>
  <dcterms:modified xsi:type="dcterms:W3CDTF">2026-10-17T14:58:33Z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